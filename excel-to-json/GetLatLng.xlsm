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ync\Carlos\MadridForAll\madrid-for-all\excel-to-json\"/>
    </mc:Choice>
  </mc:AlternateContent>
  <xr:revisionPtr revIDLastSave="0" documentId="13_ncr:1_{AD3AB749-ACDA-4800-8C24-1743E2115B9B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  <sheet name="Reference" sheetId="2" r:id="rId2"/>
    <sheet name="Categories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5" i="1" l="1"/>
  <c r="D35" i="1"/>
  <c r="D3" i="1"/>
  <c r="D11" i="1"/>
  <c r="D19" i="1"/>
  <c r="D27" i="1"/>
  <c r="D43" i="1"/>
  <c r="D51" i="1"/>
  <c r="D59" i="1"/>
  <c r="D67" i="1"/>
  <c r="D40" i="1"/>
  <c r="D9" i="1"/>
  <c r="D57" i="1"/>
  <c r="D18" i="1"/>
  <c r="D50" i="1"/>
  <c r="D4" i="1"/>
  <c r="D12" i="1"/>
  <c r="D20" i="1"/>
  <c r="D28" i="1"/>
  <c r="D36" i="1"/>
  <c r="D44" i="1"/>
  <c r="D52" i="1"/>
  <c r="D60" i="1"/>
  <c r="D68" i="1"/>
  <c r="D32" i="1"/>
  <c r="D64" i="1"/>
  <c r="D33" i="1"/>
  <c r="D34" i="1"/>
  <c r="D5" i="1"/>
  <c r="D13" i="1"/>
  <c r="D21" i="1"/>
  <c r="D29" i="1"/>
  <c r="D37" i="1"/>
  <c r="D45" i="1"/>
  <c r="D53" i="1"/>
  <c r="D61" i="1"/>
  <c r="D69" i="1"/>
  <c r="D8" i="1"/>
  <c r="D56" i="1"/>
  <c r="D41" i="1"/>
  <c r="D42" i="1"/>
  <c r="D66" i="1"/>
  <c r="D6" i="1"/>
  <c r="D14" i="1"/>
  <c r="D22" i="1"/>
  <c r="D30" i="1"/>
  <c r="D38" i="1"/>
  <c r="D46" i="1"/>
  <c r="D54" i="1"/>
  <c r="D62" i="1"/>
  <c r="D24" i="1"/>
  <c r="D17" i="1"/>
  <c r="D26" i="1"/>
  <c r="D7" i="1"/>
  <c r="D15" i="1"/>
  <c r="D23" i="1"/>
  <c r="D31" i="1"/>
  <c r="D39" i="1"/>
  <c r="D47" i="1"/>
  <c r="D55" i="1"/>
  <c r="D63" i="1"/>
  <c r="D16" i="1"/>
  <c r="D48" i="1"/>
  <c r="D25" i="1"/>
  <c r="D49" i="1"/>
  <c r="D10" i="1"/>
  <c r="D58" i="1"/>
  <c r="E7" i="1"/>
  <c r="E3" i="1"/>
  <c r="E5" i="1"/>
  <c r="E6" i="1"/>
  <c r="E4" i="1"/>
  <c r="E11" i="1"/>
  <c r="E19" i="1"/>
  <c r="E27" i="1"/>
  <c r="E35" i="1"/>
  <c r="E43" i="1"/>
  <c r="E51" i="1"/>
  <c r="E59" i="1"/>
  <c r="E67" i="1"/>
  <c r="E12" i="1"/>
  <c r="E20" i="1"/>
  <c r="E28" i="1"/>
  <c r="E36" i="1"/>
  <c r="E44" i="1"/>
  <c r="E52" i="1"/>
  <c r="E60" i="1"/>
  <c r="E68" i="1"/>
  <c r="E66" i="1"/>
  <c r="E13" i="1"/>
  <c r="E21" i="1"/>
  <c r="E29" i="1"/>
  <c r="E37" i="1"/>
  <c r="E45" i="1"/>
  <c r="E53" i="1"/>
  <c r="E61" i="1"/>
  <c r="E69" i="1"/>
  <c r="E14" i="1"/>
  <c r="E22" i="1"/>
  <c r="E30" i="1"/>
  <c r="E38" i="1"/>
  <c r="E46" i="1"/>
  <c r="E54" i="1"/>
  <c r="E62" i="1"/>
  <c r="E50" i="1"/>
  <c r="E15" i="1"/>
  <c r="E23" i="1"/>
  <c r="E31" i="1"/>
  <c r="E39" i="1"/>
  <c r="E47" i="1"/>
  <c r="E55" i="1"/>
  <c r="E63" i="1"/>
  <c r="E56" i="1"/>
  <c r="E18" i="1"/>
  <c r="E34" i="1"/>
  <c r="E58" i="1"/>
  <c r="E8" i="1"/>
  <c r="E16" i="1"/>
  <c r="E24" i="1"/>
  <c r="E32" i="1"/>
  <c r="E40" i="1"/>
  <c r="E48" i="1"/>
  <c r="E64" i="1"/>
  <c r="E26" i="1"/>
  <c r="E9" i="1"/>
  <c r="E17" i="1"/>
  <c r="E25" i="1"/>
  <c r="E33" i="1"/>
  <c r="E41" i="1"/>
  <c r="E49" i="1"/>
  <c r="E57" i="1"/>
  <c r="E65" i="1"/>
  <c r="E10" i="1"/>
  <c r="E42" i="1"/>
  <c r="D2" i="1"/>
  <c r="E2" i="1"/>
</calcChain>
</file>

<file path=xl/sharedStrings.xml><?xml version="1.0" encoding="utf-8"?>
<sst xmlns="http://schemas.openxmlformats.org/spreadsheetml/2006/main" count="202" uniqueCount="159">
  <si>
    <t>HERMANDAD DEL REFUGIO DE MADRID</t>
  </si>
  <si>
    <t>ASOCIACIÓN CULTURAL LA KALLE</t>
  </si>
  <si>
    <t>ASOCIACION CULTURAL NORTE JOVEN</t>
  </si>
  <si>
    <t>ASOCIACION CULTURAL GANDALF</t>
  </si>
  <si>
    <t>ASOCIACION VALPONASCA</t>
  </si>
  <si>
    <t>ALTERNATIVA EN MARCHA</t>
  </si>
  <si>
    <t>FUNDACIÓN TRIÁNGULO MADRID</t>
  </si>
  <si>
    <t>ASOCIACIÓN APOYO</t>
  </si>
  <si>
    <t>LA VILLANA</t>
  </si>
  <si>
    <t>LA MERCED MIGRACIONES</t>
  </si>
  <si>
    <t>ESCUELA POPULAR DE ADULTOS DEL BARRIO DEL PILAR</t>
  </si>
  <si>
    <t>ASOCIACIÓN REALIDADES</t>
  </si>
  <si>
    <t>LA INGOBERNABLE</t>
  </si>
  <si>
    <t>LA ENREDADERA</t>
  </si>
  <si>
    <t>CEPI CENTRO ARGANZUELA (LA RUECA ASOCIACIÓN)</t>
  </si>
  <si>
    <t>AFROAID</t>
  </si>
  <si>
    <t>ASOCIACIÓN CEPA-PUENTE DE VALLECAS</t>
  </si>
  <si>
    <t>ORBITA DIVERSA</t>
  </si>
  <si>
    <t>SOS RACISMO MADRID</t>
  </si>
  <si>
    <t>ID</t>
  </si>
  <si>
    <t>orgName</t>
  </si>
  <si>
    <t>fullAddress</t>
  </si>
  <si>
    <t>Language</t>
  </si>
  <si>
    <t>ES</t>
  </si>
  <si>
    <t>FR</t>
  </si>
  <si>
    <t>EN</t>
  </si>
  <si>
    <t>AR</t>
  </si>
  <si>
    <t>Servicios básicos: Alojamiento. Comida. Comedores. Productos de higiene. Duchas públicas. Ropa.</t>
  </si>
  <si>
    <t>Salud: Atención médica general. SIDA/VIH. Adicciones. Dentista. Oculista/gafas. Vacunación. Ginecología. Atención psicológica. Atención psiquiátrica.</t>
  </si>
  <si>
    <t>Educación: Clases de español. Clases de otros idiomas. Clases de informática. Apoyo y material escolar. Formación profesional. Otras formaciones.</t>
  </si>
  <si>
    <t>Ocio: Deportes, Acceso a la cultura. Tiempo libre. Internet.</t>
  </si>
  <si>
    <t>Información legal y asistencia jurídica.</t>
  </si>
  <si>
    <t>Información y orientación laboral.</t>
  </si>
  <si>
    <t>Mujer</t>
  </si>
  <si>
    <t>Infancia y jóvenes.</t>
  </si>
  <si>
    <t>Familia.</t>
  </si>
  <si>
    <t>LGTBIQ+</t>
  </si>
  <si>
    <t>Diversidad funcional</t>
  </si>
  <si>
    <t>Code</t>
  </si>
  <si>
    <t>CAT1</t>
  </si>
  <si>
    <t>CAT2</t>
  </si>
  <si>
    <t>CAT3</t>
  </si>
  <si>
    <t>CAT4</t>
  </si>
  <si>
    <t>CAT5</t>
  </si>
  <si>
    <t>CAT6</t>
  </si>
  <si>
    <t>CAT7</t>
  </si>
  <si>
    <t>CAT8</t>
  </si>
  <si>
    <t>CAT9</t>
  </si>
  <si>
    <t>CAT10</t>
  </si>
  <si>
    <t>CAT11</t>
  </si>
  <si>
    <t>TBTranslated</t>
  </si>
  <si>
    <t>geocode.lat</t>
  </si>
  <si>
    <t>geocode.lng</t>
  </si>
  <si>
    <t>Corredera Baja de San Pablo 16,28004, MADRID</t>
  </si>
  <si>
    <t xml:space="preserve"> calle Gobernador 39, 28014, MADRID</t>
  </si>
  <si>
    <t>calle anastasio herrero 10, 28020, MADRID</t>
  </si>
  <si>
    <t>RAFAEL FERNANDEZ HIJICOS, 2, 28038, MADRID</t>
  </si>
  <si>
    <t>Calle General Aranda 30, 28029, MADRID</t>
  </si>
  <si>
    <t>calle Ramón Pérez de Ayala 26, 28038,MADRID</t>
  </si>
  <si>
    <t>calle marismas 37, 28038, MADRID</t>
  </si>
  <si>
    <t xml:space="preserve">calle Ribera de Curtidores 2, 28005,MADRID </t>
  </si>
  <si>
    <t>Calle Lavapiés, 13, 28012, MADRID</t>
  </si>
  <si>
    <t>Calle Santa Engracia, 140, 28003, MADRID</t>
  </si>
  <si>
    <t>Calle Esparteros 1, 28012,MADRID</t>
  </si>
  <si>
    <t>calle Montera, 24, 28013, MADRID</t>
  </si>
  <si>
    <t xml:space="preserve">Calle Romeral 12, 28021, MADRID </t>
  </si>
  <si>
    <t>CALLE MAYOR 21, 28013, MADRID</t>
  </si>
  <si>
    <t>CALLE FRAY JUNÍPERO SERRA, 43, 28039, MADRID</t>
  </si>
  <si>
    <t>calle silvano, 150, 28043, MADRID</t>
  </si>
  <si>
    <t>calle avelino fernadez de la poza, 55, 28053, MADRID</t>
  </si>
  <si>
    <t>Paseo Julio Romero de Torres s/n Parque del Retiro, 28009, MADRID</t>
  </si>
  <si>
    <t>Calle Manuel Fernandez Caballero, 4, 28019, MADRID</t>
  </si>
  <si>
    <t>Calle Gandía, 1 - local 9A, 28007, MADRID</t>
  </si>
  <si>
    <t>calle Virgen de la Oliva 69-71, 28037, MADRID</t>
  </si>
  <si>
    <t>Paseo de Ntra. Sra. de las Delicias, 61, 28045, MADRID</t>
  </si>
  <si>
    <t>Calle Bascones, 21, 28029, MADRID</t>
  </si>
  <si>
    <t>calle Morando 18, 28029, MADRID</t>
  </si>
  <si>
    <t>Calle Olivar 1 (bis), 28012, MADRID</t>
  </si>
  <si>
    <t>Calle José Marañón, 15-E, 28010, MADRID</t>
  </si>
  <si>
    <t>Calle Casino, 12, 28005, MADRID</t>
  </si>
  <si>
    <t>Calle San Felipe Neri, 4, 28013, MADRID</t>
  </si>
  <si>
    <t>Carretera de Colmenar Km 9,100, 28034, Fuencarral / El Pardo, MADRID</t>
  </si>
  <si>
    <t>Calle Martin de Vargas 13 bajo, 28005, MADRID</t>
  </si>
  <si>
    <t>Cañizares, 3, 28012, MADRID</t>
  </si>
  <si>
    <t>Calle Alameda 15, 28014, Madrid</t>
  </si>
  <si>
    <t xml:space="preserve">Montseny, 35, 28038, MADRID </t>
  </si>
  <si>
    <t xml:space="preserve">Betanzos nº 37, 28029, MADRID  </t>
  </si>
  <si>
    <t xml:space="preserve">Javier de Miguel, 92, 28018, MADRID </t>
  </si>
  <si>
    <t>Rivadavia, 20, 28029, MADRID</t>
  </si>
  <si>
    <t>San Agustin, 7, 28014, MADRID</t>
  </si>
  <si>
    <t xml:space="preserve">AGUILAR DE CAMPOO, 13, 28039, MADRID </t>
  </si>
  <si>
    <t xml:space="preserve">San Aquilino 27, 28029, MADRID </t>
  </si>
  <si>
    <t>SAN BERNARDO, 120, 28015, MADRID</t>
  </si>
  <si>
    <t>Santanderina, 4, 28053, MADRID</t>
  </si>
  <si>
    <t>Ruidera 10, 28053, MADRID</t>
  </si>
  <si>
    <t>Provisiones, 14, 28012, MADRID</t>
  </si>
  <si>
    <t>Embajadores 37, 28012, MADRID</t>
  </si>
  <si>
    <t>Andaluces, 22 post., 28038, MADRID</t>
  </si>
  <si>
    <t>Ribera de Curtidores, 3 Local 8, 28005, MADRID</t>
  </si>
  <si>
    <t>Melendez Valdés, 52, 28015, MADRID</t>
  </si>
  <si>
    <t>Duque de Alba 13, local interior, 28012, MADRID</t>
  </si>
  <si>
    <t>Embajadores 52, 28012, MADRID</t>
  </si>
  <si>
    <t>Duque de Alba 13, 28012, MADRID</t>
  </si>
  <si>
    <t>Arquitectura, 15, 28005, MADRID</t>
  </si>
  <si>
    <t>Calle del Poeta Blas de Otero, 66</t>
  </si>
  <si>
    <t>BIENVENIDXS REFUGIADXS ALCALÁ DE HENARES</t>
  </si>
  <si>
    <t xml:space="preserve">ASOCIACIÓN DE PSICOTERAPIA SISTÉMICA TRANSCULTURAL. TERAPIAS SIN FRONTERAS
</t>
  </si>
  <si>
    <t>ASOCIACIÓN VECINAL PALOMA DEHESA DE LA VILLA</t>
  </si>
  <si>
    <t>ASOCIACIÓN KARIBU</t>
  </si>
  <si>
    <t>KIFKIF</t>
  </si>
  <si>
    <t>AJIVA</t>
  </si>
  <si>
    <t>ARCÓPILO</t>
  </si>
  <si>
    <t>ASOCIACIÓN GRUPO LABOR</t>
  </si>
  <si>
    <t>APLEC INCLUSIÓN + IGUALDAD</t>
  </si>
  <si>
    <t>ASOCIACIÓN DE MUJERES NOSOTRAS MISMAS CHAMBERÍ</t>
  </si>
  <si>
    <t>SERCADE</t>
  </si>
  <si>
    <t>ASOCIACIÓN DE MUJERES SEPARADAS Y DIVORCIADAS "CARMEN GARCÍA CASTELLÓN"</t>
  </si>
  <si>
    <t>CANDELITA</t>
  </si>
  <si>
    <t>ASOCIACIÓN ÁNGELES URBANOS</t>
  </si>
  <si>
    <t>ADESPRO</t>
  </si>
  <si>
    <t>CIUDAD JOVEN</t>
  </si>
  <si>
    <t>OTRO PUNTO DE PARTIDA</t>
  </si>
  <si>
    <t>ASOCIACIÓN VALIENTE BANGLA</t>
  </si>
  <si>
    <t>ASOCIACIÓN PARA LA INTEGRACIÓN DEL MENOR PAIDEIA</t>
  </si>
  <si>
    <t>ASOCIACION AMIGOS DEL RETIRO</t>
  </si>
  <si>
    <t>ASOCIACIÓN PROGESTION</t>
  </si>
  <si>
    <t>GRUPO DE TRABAJO SOBRE TRATAMIENTO DEL VIH</t>
  </si>
  <si>
    <t>ASOCIACIÓN SOCIAL Y CULTURAL CASA DE PAZ</t>
  </si>
  <si>
    <t>COMEDOR ASISTENCIAL VIRGEN DE LA CANDELARIA. ORDEN DE MALTA</t>
  </si>
  <si>
    <t>PARROQUIA NUESTRA SEÑORA DE LAS DELICIAS</t>
  </si>
  <si>
    <t>CENTRO SOCIAL SAN JUAN BAUTISTA</t>
  </si>
  <si>
    <t>COMUNIDAD DE SANT'EGIDIO</t>
  </si>
  <si>
    <t>CENTRO DE DÍA LUZ CASANOVA. APOSTÓLICAS DEL CORAZÓN DE JESÚS</t>
  </si>
  <si>
    <t>IBN BATTUTA</t>
  </si>
  <si>
    <t>ACCIÓN EN RED</t>
  </si>
  <si>
    <t>SALUD ENTRE CULTURAS</t>
  </si>
  <si>
    <t>SAVE A GIRL SAVE A GENERATION</t>
  </si>
  <si>
    <t>FEDERACIÓN DE MUJERES PROGRESITAS</t>
  </si>
  <si>
    <t>RED SOLIDARIA DE ACOGIDA. RSA</t>
  </si>
  <si>
    <t>OBSERVATORIO DE DERECHOS HUMANOS SAMBA MARTINE</t>
  </si>
  <si>
    <t>REFUGIADOS BIENVENIDOS (REFUGEES WELCOME ESPAÑA)</t>
  </si>
  <si>
    <t>ASOCIACIÓN TRIÁNGULO JUVENTUD</t>
  </si>
  <si>
    <t>RED INTERLAVAPIES</t>
  </si>
  <si>
    <t>COLECTIVO TERRITORIO DOMÉSTICO</t>
  </si>
  <si>
    <t>ASOCIACIÓN SENDA DE CUIDADOS</t>
  </si>
  <si>
    <t>ASOCIACION HORUELO</t>
  </si>
  <si>
    <t>APOYO POSITIVO</t>
  </si>
  <si>
    <t>ASILIM</t>
  </si>
  <si>
    <t>MEDIALAB PRADO</t>
  </si>
  <si>
    <t>MUNDO EN MOVIMIENTO</t>
  </si>
  <si>
    <t>Calle Cáceres, 10, 28045,MADRID</t>
  </si>
  <si>
    <t>Calle Arquitectura 15 duplicado, 28005, MADRID</t>
  </si>
  <si>
    <t>Calle Aranzueque 3, 28023, MADRID</t>
  </si>
  <si>
    <t>Calle Lope de Vega, 45, 28014, MADRID</t>
  </si>
  <si>
    <t>Calle Entrepeñas, 2 28803, Alcalá de Henares, Madrid</t>
  </si>
  <si>
    <t>Betanzos 37,   28029, Madrid</t>
  </si>
  <si>
    <t>Calle de Bocángel, 2 28028,MADRID</t>
  </si>
  <si>
    <t>Calle Sancho Dávila,19, 28028, MADRID</t>
  </si>
  <si>
    <t>Av. de la Institución Libre de Enseñanza, 41, 28037 Madrid, Spain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</si>
</sst>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</font>
    <font>
      <sz val="11"/>
      <color rgb="FF464545"/>
      <name val="Arial"/>
    </font>
    <font>
      <sz val="10"/>
      <name val="Arial"/>
      <family val="2"/>
    </font>
    <font>
      <b/>
      <sz val="10"/>
      <color rgb="FF00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2" xfId="0" applyFont="1" applyBorder="1"/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6" fillId="0" borderId="3" xfId="0" applyFont="1" applyBorder="1" applyAlignment="1">
      <alignment wrapText="1"/>
    </xf>
    <xf numFmtId="0" fontId="6" fillId="0" borderId="4" xfId="0" applyFont="1" applyBorder="1" applyAlignment="1">
      <alignment wrapText="1"/>
    </xf>
    <xf numFmtId="0" fontId="5" fillId="0" borderId="0" xfId="0" applyFont="1" applyAlignment="1">
      <alignment horizontal="right" wrapText="1"/>
    </xf>
    <xf numFmtId="0" fontId="2" fillId="2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96FABF9-B904-41A0-9A3A-69F72B1F559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E69"/>
  <sheetViews>
    <sheetView tabSelected="1" zoomScaleNormal="100" workbookViewId="0">
      <pane ySplit="1" topLeftCell="A47" activePane="bottomLeft" state="frozen"/>
      <selection pane="bottomLeft" activeCell="D65" sqref="D65"/>
    </sheetView>
  </sheetViews>
  <sheetFormatPr defaultColWidth="14.42578125" defaultRowHeight="15.75" customHeight="1" x14ac:dyDescent="0.2"/>
  <cols>
    <col min="2" max="2" width="54" customWidth="1"/>
    <col min="3" max="3" width="63.140625" bestFit="1" customWidth="1"/>
    <col min="4" max="4" width="15.140625" customWidth="1"/>
    <col min="5" max="5" width="44.42578125" customWidth="1"/>
  </cols>
  <sheetData>
    <row r="1" spans="1:5" ht="15.75" customHeight="1" x14ac:dyDescent="0.2">
      <c r="A1" s="9" t="s">
        <v>19</v>
      </c>
      <c r="B1" s="10" t="s">
        <v>20</v>
      </c>
      <c r="C1" s="4" t="s">
        <v>21</v>
      </c>
      <c r="D1" s="4" t="s">
        <v>51</v>
      </c>
      <c r="E1" s="5" t="s">
        <v>52</v>
      </c>
    </row>
    <row r="2" spans="1:5" ht="15.75" customHeight="1" x14ac:dyDescent="0.2">
      <c r="A2" s="11">
        <v>1</v>
      </c>
      <c r="B2" s="8" t="s">
        <v>5</v>
      </c>
      <c r="C2" s="6" t="s">
        <v>104</v>
      </c>
      <c r="D2" s="3" t="str">
        <f t="shared" ref="D2:D66" si="0">GetLatitude(C2)</f>
        <v>40.4236238</v>
      </c>
      <c r="E2" s="3" t="str">
        <f t="shared" ref="E2:E65" si="1">GetLongitud(C2)</f>
        <v>-3.6508187</v>
      </c>
    </row>
    <row r="3" spans="1:5" ht="15.75" customHeight="1" x14ac:dyDescent="0.2">
      <c r="A3" s="11">
        <v>2</v>
      </c>
      <c r="B3" s="8" t="s">
        <v>105</v>
      </c>
      <c r="C3" s="8" t="s">
        <v>154</v>
      </c>
      <c r="D3" s="3" t="str">
        <f t="shared" si="0"/>
        <v>Calle Entrepeñas, 2 28803, Alcalá de Henares, Madrid: Not Found (try again, you may have done too many too fast)</v>
      </c>
      <c r="E3" s="3" t="str">
        <f t="shared" ref="E3:E7" si="2">GetLongitud(C3)</f>
        <v>Calle Entrepeñas, 2 28803, Alcalá de Henares, Madrid: Not Found (try again, you may have done too many too fast)</v>
      </c>
    </row>
    <row r="4" spans="1:5" ht="15.75" customHeight="1" x14ac:dyDescent="0.2">
      <c r="A4" s="11">
        <v>3</v>
      </c>
      <c r="B4" s="8" t="s">
        <v>0</v>
      </c>
      <c r="C4" s="6" t="s">
        <v>53</v>
      </c>
      <c r="D4" s="3" t="str">
        <f t="shared" si="0"/>
        <v>40.4226654</v>
      </c>
      <c r="E4" s="3" t="str">
        <f t="shared" si="2"/>
        <v>-3.7034987</v>
      </c>
    </row>
    <row r="5" spans="1:5" ht="15.75" customHeight="1" x14ac:dyDescent="0.2">
      <c r="A5" s="11">
        <v>4</v>
      </c>
      <c r="B5" s="8" t="s">
        <v>0</v>
      </c>
      <c r="C5" s="6" t="s">
        <v>53</v>
      </c>
      <c r="D5" s="3" t="str">
        <f t="shared" si="0"/>
        <v>40.4226654</v>
      </c>
      <c r="E5" s="3" t="str">
        <f t="shared" si="2"/>
        <v>-3.7034987</v>
      </c>
    </row>
    <row r="6" spans="1:5" ht="15.75" customHeight="1" x14ac:dyDescent="0.2">
      <c r="A6" s="11">
        <v>5</v>
      </c>
      <c r="B6" s="8" t="s">
        <v>7</v>
      </c>
      <c r="C6" s="8" t="s">
        <v>155</v>
      </c>
      <c r="D6" s="3" t="str">
        <f t="shared" si="0"/>
        <v>40.4746269</v>
      </c>
      <c r="E6" s="3" t="str">
        <f t="shared" si="2"/>
        <v>-3.7114436</v>
      </c>
    </row>
    <row r="7" spans="1:5" ht="15.75" customHeight="1" x14ac:dyDescent="0.2">
      <c r="A7" s="11">
        <v>6</v>
      </c>
      <c r="B7" s="8" t="s">
        <v>8</v>
      </c>
      <c r="C7" s="6" t="s">
        <v>85</v>
      </c>
      <c r="D7" s="3" t="str">
        <f t="shared" si="0"/>
        <v>40.4005434</v>
      </c>
      <c r="E7" s="3" t="str">
        <f t="shared" si="2"/>
        <v>-3.6624328</v>
      </c>
    </row>
    <row r="8" spans="1:5" ht="15.75" customHeight="1" x14ac:dyDescent="0.2">
      <c r="A8" s="11">
        <v>7</v>
      </c>
      <c r="B8" s="8" t="s">
        <v>9</v>
      </c>
      <c r="C8" s="8" t="s">
        <v>156</v>
      </c>
      <c r="D8" s="3" t="str">
        <f t="shared" si="0"/>
        <v>Calle de Bocángel, 2 28028,MADRID: Not Found (try again, you may have done too many too fast)</v>
      </c>
      <c r="E8" s="3" t="str">
        <f t="shared" si="1"/>
        <v>Calle de Bocángel, 2 28028,MADRID: Not Found (try again, you may have done too many too fast)</v>
      </c>
    </row>
    <row r="9" spans="1:5" ht="15.75" customHeight="1" x14ac:dyDescent="0.2">
      <c r="A9" s="11">
        <v>8</v>
      </c>
      <c r="B9" s="8" t="s">
        <v>10</v>
      </c>
      <c r="C9" s="6" t="s">
        <v>86</v>
      </c>
      <c r="D9" s="3" t="str">
        <f t="shared" si="0"/>
        <v>Betanzos nº 37, 28029, MADRID  : Not Found (try again, you may have done too many too fast)</v>
      </c>
      <c r="E9" s="3" t="str">
        <f t="shared" si="1"/>
        <v>Betanzos nº 37, 28029, MADRID  : Not Found (try again, you may have done too many too fast)</v>
      </c>
    </row>
    <row r="10" spans="1:5" ht="15.75" customHeight="1" x14ac:dyDescent="0.2">
      <c r="A10" s="11">
        <v>9</v>
      </c>
      <c r="B10" s="8" t="s">
        <v>11</v>
      </c>
      <c r="C10" s="8" t="s">
        <v>150</v>
      </c>
      <c r="D10" s="3" t="str">
        <f t="shared" si="0"/>
        <v>Calle Cáceres, 10, 28045,MADRID: Not Found (try again, you may have done too many too fast)</v>
      </c>
      <c r="E10" s="3" t="str">
        <f t="shared" si="1"/>
        <v>Calle Cáceres, 10, 28045,MADRID: Not Found (try again, you may have done too many too fast)</v>
      </c>
    </row>
    <row r="11" spans="1:5" ht="15.75" customHeight="1" x14ac:dyDescent="0.2">
      <c r="A11" s="11">
        <v>10</v>
      </c>
      <c r="B11" s="8" t="s">
        <v>1</v>
      </c>
      <c r="C11" s="6" t="s">
        <v>87</v>
      </c>
      <c r="D11" s="3" t="str">
        <f t="shared" si="0"/>
        <v>40.3852155</v>
      </c>
      <c r="E11" s="3" t="str">
        <f t="shared" si="1"/>
        <v>-3.6564745</v>
      </c>
    </row>
    <row r="12" spans="1:5" ht="15.75" customHeight="1" x14ac:dyDescent="0.2">
      <c r="A12" s="11">
        <v>11</v>
      </c>
      <c r="B12" s="8" t="s">
        <v>12</v>
      </c>
      <c r="C12" s="6" t="s">
        <v>54</v>
      </c>
      <c r="D12" s="3" t="str">
        <f t="shared" si="0"/>
        <v>40.4115124</v>
      </c>
      <c r="E12" s="3" t="str">
        <f t="shared" si="1"/>
        <v>-3.6933957</v>
      </c>
    </row>
    <row r="13" spans="1:5" ht="15.75" customHeight="1" x14ac:dyDescent="0.2">
      <c r="A13" s="11">
        <v>12</v>
      </c>
      <c r="B13" s="8" t="s">
        <v>2</v>
      </c>
      <c r="C13" s="6" t="s">
        <v>88</v>
      </c>
      <c r="D13" s="3" t="str">
        <f t="shared" si="0"/>
        <v>40.4724723</v>
      </c>
      <c r="E13" s="3" t="str">
        <f t="shared" si="1"/>
        <v>-3.7049219</v>
      </c>
    </row>
    <row r="14" spans="1:5" ht="15.75" customHeight="1" x14ac:dyDescent="0.2">
      <c r="A14" s="11">
        <v>13</v>
      </c>
      <c r="B14" s="8" t="s">
        <v>13</v>
      </c>
      <c r="C14" s="6" t="s">
        <v>55</v>
      </c>
      <c r="D14" s="3" t="str">
        <f t="shared" si="0"/>
        <v>40.4566109</v>
      </c>
      <c r="E14" s="3" t="str">
        <f t="shared" si="1"/>
        <v>-3.7009844</v>
      </c>
    </row>
    <row r="15" spans="1:5" ht="15.75" customHeight="1" x14ac:dyDescent="0.2">
      <c r="A15" s="11">
        <v>14</v>
      </c>
      <c r="B15" s="8" t="s">
        <v>106</v>
      </c>
      <c r="C15" s="6" t="s">
        <v>89</v>
      </c>
      <c r="D15" s="3" t="str">
        <f t="shared" si="0"/>
        <v>40.4148312</v>
      </c>
      <c r="E15" s="3" t="str">
        <f t="shared" si="1"/>
        <v>-3.6967330</v>
      </c>
    </row>
    <row r="16" spans="1:5" ht="15.75" customHeight="1" x14ac:dyDescent="0.2">
      <c r="A16" s="11">
        <v>15</v>
      </c>
      <c r="B16" s="8" t="s">
        <v>3</v>
      </c>
      <c r="C16" s="6" t="s">
        <v>56</v>
      </c>
      <c r="D16" s="3" t="str">
        <f t="shared" si="0"/>
        <v>40.3924062</v>
      </c>
      <c r="E16" s="3" t="str">
        <f t="shared" si="1"/>
        <v>-3.6368758</v>
      </c>
    </row>
    <row r="17" spans="1:5" ht="15.75" customHeight="1" x14ac:dyDescent="0.2">
      <c r="A17" s="11">
        <v>16</v>
      </c>
      <c r="B17" s="8" t="s">
        <v>14</v>
      </c>
      <c r="C17" s="6" t="s">
        <v>151</v>
      </c>
      <c r="D17" s="3" t="str">
        <f t="shared" si="0"/>
        <v>Calle Arquitectura 15 duplicado, 28005, MADRID: Not Found (try again, you may have done too many too fast)</v>
      </c>
      <c r="E17" s="3" t="str">
        <f t="shared" si="1"/>
        <v>Calle Arquitectura 15 duplicado, 28005, MADRID: Not Found (try again, you may have done too many too fast)</v>
      </c>
    </row>
    <row r="18" spans="1:5" ht="15.75" customHeight="1" x14ac:dyDescent="0.2">
      <c r="A18" s="11">
        <v>17</v>
      </c>
      <c r="B18" s="8" t="s">
        <v>15</v>
      </c>
      <c r="C18" s="6" t="s">
        <v>57</v>
      </c>
      <c r="D18" s="3" t="str">
        <f t="shared" si="0"/>
        <v>40.4731095</v>
      </c>
      <c r="E18" s="3" t="str">
        <f t="shared" si="1"/>
        <v>-3.6938230</v>
      </c>
    </row>
    <row r="19" spans="1:5" ht="15.75" customHeight="1" x14ac:dyDescent="0.2">
      <c r="A19" s="11">
        <v>18</v>
      </c>
      <c r="B19" s="8" t="s">
        <v>16</v>
      </c>
      <c r="C19" s="6" t="s">
        <v>58</v>
      </c>
      <c r="D19" s="3" t="str">
        <f t="shared" si="0"/>
        <v>calle Ramón Pérez de Ayala 26, 28038,MADRID: Not Found (try again, you may have done too many too fast)</v>
      </c>
      <c r="E19" s="3" t="str">
        <f t="shared" si="1"/>
        <v>calle Ramón Pérez de Ayala 26, 28038,MADRID: Not Found (try again, you may have done too many too fast)</v>
      </c>
    </row>
    <row r="20" spans="1:5" ht="15.75" customHeight="1" x14ac:dyDescent="0.2">
      <c r="A20" s="11">
        <v>19</v>
      </c>
      <c r="B20" s="8" t="s">
        <v>16</v>
      </c>
      <c r="C20" s="6" t="s">
        <v>59</v>
      </c>
      <c r="D20" s="3" t="str">
        <f t="shared" si="0"/>
        <v>40.4023568</v>
      </c>
      <c r="E20" s="3" t="str">
        <f t="shared" si="1"/>
        <v>-3.6540105</v>
      </c>
    </row>
    <row r="21" spans="1:5" ht="15.75" customHeight="1" x14ac:dyDescent="0.2">
      <c r="A21" s="11">
        <v>20</v>
      </c>
      <c r="B21" s="8" t="s">
        <v>17</v>
      </c>
      <c r="C21" s="7" t="s">
        <v>60</v>
      </c>
      <c r="D21" s="3" t="str">
        <f t="shared" si="0"/>
        <v>40.4091711</v>
      </c>
      <c r="E21" s="3" t="str">
        <f t="shared" si="1"/>
        <v>-3.7074268</v>
      </c>
    </row>
    <row r="22" spans="1:5" ht="15.75" customHeight="1" x14ac:dyDescent="0.2">
      <c r="A22" s="11">
        <v>21</v>
      </c>
      <c r="B22" s="8" t="s">
        <v>18</v>
      </c>
      <c r="C22" s="6" t="s">
        <v>61</v>
      </c>
      <c r="D22" s="3" t="str">
        <f t="shared" si="0"/>
        <v>Calle Lavapiés, 13, 28012, MADRID: Not Found (try again, you may have done too many too fast)</v>
      </c>
      <c r="E22" s="3" t="str">
        <f t="shared" si="1"/>
        <v>Calle Lavapiés, 13, 28012, MADRID: Not Found (try again, you may have done too many too fast)</v>
      </c>
    </row>
    <row r="23" spans="1:5" ht="15.75" customHeight="1" x14ac:dyDescent="0.2">
      <c r="A23" s="11">
        <v>22</v>
      </c>
      <c r="B23" s="8" t="s">
        <v>107</v>
      </c>
      <c r="C23" s="6" t="s">
        <v>90</v>
      </c>
      <c r="D23" s="3" t="str">
        <f t="shared" si="0"/>
        <v>40.4635373</v>
      </c>
      <c r="E23" s="3" t="str">
        <f t="shared" si="1"/>
        <v>-3.7188877</v>
      </c>
    </row>
    <row r="24" spans="1:5" ht="15.75" customHeight="1" x14ac:dyDescent="0.2">
      <c r="A24" s="11">
        <v>23</v>
      </c>
      <c r="B24" s="8" t="s">
        <v>4</v>
      </c>
      <c r="C24" s="6" t="s">
        <v>91</v>
      </c>
      <c r="D24" s="3" t="str">
        <f t="shared" si="0"/>
        <v>40.4718609</v>
      </c>
      <c r="E24" s="3" t="str">
        <f t="shared" si="1"/>
        <v>-3.6892258</v>
      </c>
    </row>
    <row r="25" spans="1:5" ht="15.75" customHeight="1" x14ac:dyDescent="0.2">
      <c r="A25" s="11">
        <v>24</v>
      </c>
      <c r="B25" s="8" t="s">
        <v>4</v>
      </c>
      <c r="C25" s="6" t="s">
        <v>152</v>
      </c>
      <c r="D25" s="3" t="str">
        <f t="shared" si="0"/>
        <v>40.4613341</v>
      </c>
      <c r="E25" s="3" t="str">
        <f t="shared" si="1"/>
        <v>-3.7884302</v>
      </c>
    </row>
    <row r="26" spans="1:5" ht="15.75" customHeight="1" x14ac:dyDescent="0.2">
      <c r="A26" s="11">
        <v>25</v>
      </c>
      <c r="B26" s="8" t="s">
        <v>108</v>
      </c>
      <c r="C26" s="6" t="s">
        <v>62</v>
      </c>
      <c r="D26" s="3" t="str">
        <f t="shared" si="0"/>
        <v>40.4436353</v>
      </c>
      <c r="E26" s="3" t="str">
        <f t="shared" si="1"/>
        <v>-3.7022263</v>
      </c>
    </row>
    <row r="27" spans="1:5" ht="15.75" customHeight="1" x14ac:dyDescent="0.2">
      <c r="A27" s="11">
        <v>26</v>
      </c>
      <c r="B27" s="8" t="s">
        <v>109</v>
      </c>
      <c r="C27" s="6" t="s">
        <v>63</v>
      </c>
      <c r="D27" s="3" t="str">
        <f t="shared" si="0"/>
        <v>40.4163611</v>
      </c>
      <c r="E27" s="3" t="str">
        <f t="shared" si="1"/>
        <v>-3.7049219</v>
      </c>
    </row>
    <row r="28" spans="1:5" ht="15.75" customHeight="1" x14ac:dyDescent="0.2">
      <c r="A28" s="11">
        <v>27</v>
      </c>
      <c r="B28" s="8" t="s">
        <v>110</v>
      </c>
      <c r="C28" s="6"/>
      <c r="D28" s="3" t="str">
        <f t="shared" si="0"/>
        <v>: Not Found (try again, you may have done too many too fast)</v>
      </c>
      <c r="E28" s="3" t="str">
        <f t="shared" si="1"/>
        <v>: Not Found (try again, you may have done too many too fast)</v>
      </c>
    </row>
    <row r="29" spans="1:5" ht="15.75" customHeight="1" x14ac:dyDescent="0.2">
      <c r="A29" s="11">
        <v>28</v>
      </c>
      <c r="B29" s="8" t="s">
        <v>111</v>
      </c>
      <c r="C29" s="6" t="s">
        <v>64</v>
      </c>
      <c r="D29" s="3" t="str">
        <f t="shared" si="0"/>
        <v>40.4185112</v>
      </c>
      <c r="E29" s="3" t="str">
        <f t="shared" si="1"/>
        <v>-3.7019337</v>
      </c>
    </row>
    <row r="30" spans="1:5" ht="15.75" customHeight="1" x14ac:dyDescent="0.2">
      <c r="A30" s="11">
        <v>29</v>
      </c>
      <c r="B30" s="8" t="s">
        <v>112</v>
      </c>
      <c r="C30" s="6" t="s">
        <v>65</v>
      </c>
      <c r="D30" s="3" t="str">
        <f t="shared" si="0"/>
        <v>40.3491067</v>
      </c>
      <c r="E30" s="3" t="str">
        <f t="shared" si="1"/>
        <v>-3.6970806</v>
      </c>
    </row>
    <row r="31" spans="1:5" ht="15.75" customHeight="1" x14ac:dyDescent="0.2">
      <c r="A31" s="11">
        <v>30</v>
      </c>
      <c r="B31" s="8" t="s">
        <v>113</v>
      </c>
      <c r="C31" s="6" t="s">
        <v>66</v>
      </c>
      <c r="D31" s="3" t="str">
        <f t="shared" si="0"/>
        <v>40.4161284</v>
      </c>
      <c r="E31" s="3" t="str">
        <f t="shared" si="1"/>
        <v>-3.7066068</v>
      </c>
    </row>
    <row r="32" spans="1:5" ht="15.75" customHeight="1" x14ac:dyDescent="0.2">
      <c r="A32" s="11">
        <v>31</v>
      </c>
      <c r="B32" s="8" t="s">
        <v>114</v>
      </c>
      <c r="C32" s="6" t="s">
        <v>92</v>
      </c>
      <c r="D32" s="3" t="str">
        <f t="shared" si="0"/>
        <v>40.4318807</v>
      </c>
      <c r="E32" s="3" t="str">
        <f t="shared" si="1"/>
        <v>-3.7047308</v>
      </c>
    </row>
    <row r="33" spans="1:5" ht="15.75" customHeight="1" x14ac:dyDescent="0.2">
      <c r="A33" s="11">
        <v>32</v>
      </c>
      <c r="B33" s="8" t="s">
        <v>115</v>
      </c>
      <c r="C33" s="6" t="s">
        <v>153</v>
      </c>
      <c r="D33" s="3" t="str">
        <f t="shared" si="0"/>
        <v>40.4138278</v>
      </c>
      <c r="E33" s="3" t="str">
        <f t="shared" si="1"/>
        <v>-3.6952302</v>
      </c>
    </row>
    <row r="34" spans="1:5" ht="15.75" customHeight="1" x14ac:dyDescent="0.2">
      <c r="A34" s="11">
        <v>33</v>
      </c>
      <c r="B34" s="8" t="s">
        <v>116</v>
      </c>
      <c r="C34" s="6" t="s">
        <v>67</v>
      </c>
      <c r="D34" s="3" t="str">
        <f t="shared" si="0"/>
        <v>CALLE FRAY JUNÍPERO SERRA, 43, 28039, MADRID: Not Found (try again, you may have done too many too fast)</v>
      </c>
      <c r="E34" s="3" t="str">
        <f t="shared" si="1"/>
        <v>CALLE FRAY JUNÍPERO SERRA, 43, 28039, MADRID: Not Found (try again, you may have done too many too fast)</v>
      </c>
    </row>
    <row r="35" spans="1:5" ht="15.75" customHeight="1" x14ac:dyDescent="0.2">
      <c r="A35" s="11">
        <v>34</v>
      </c>
      <c r="B35" s="8" t="s">
        <v>117</v>
      </c>
      <c r="C35" s="8" t="s">
        <v>157</v>
      </c>
      <c r="D35" s="3" t="str">
        <f t="shared" si="0"/>
        <v>Calle Sancho Dávila,19, 28028, MADRID: Not Found (try again, you may have done too many too fast)</v>
      </c>
      <c r="E35" s="3" t="str">
        <f t="shared" si="1"/>
        <v>Calle Sancho Dávila,19, 28028, MADRID: Not Found (try again, you may have done too many too fast)</v>
      </c>
    </row>
    <row r="36" spans="1:5" ht="15.75" customHeight="1" x14ac:dyDescent="0.2">
      <c r="A36" s="11">
        <v>35</v>
      </c>
      <c r="B36" s="8" t="s">
        <v>118</v>
      </c>
      <c r="C36" s="6" t="s">
        <v>68</v>
      </c>
      <c r="D36" s="3" t="str">
        <f t="shared" si="0"/>
        <v>40.4624936</v>
      </c>
      <c r="E36" s="3" t="str">
        <f t="shared" si="1"/>
        <v>-3.6290532</v>
      </c>
    </row>
    <row r="37" spans="1:5" ht="15.75" customHeight="1" x14ac:dyDescent="0.2">
      <c r="A37" s="11">
        <v>36</v>
      </c>
      <c r="B37" s="8" t="s">
        <v>119</v>
      </c>
      <c r="C37" s="6" t="s">
        <v>93</v>
      </c>
      <c r="D37" s="3" t="str">
        <f t="shared" si="0"/>
        <v>40.3739519</v>
      </c>
      <c r="E37" s="3" t="str">
        <f t="shared" si="1"/>
        <v>-3.6592225</v>
      </c>
    </row>
    <row r="38" spans="1:5" ht="15.75" customHeight="1" x14ac:dyDescent="0.2">
      <c r="A38" s="11">
        <v>37</v>
      </c>
      <c r="B38" s="8" t="s">
        <v>120</v>
      </c>
      <c r="C38" s="6" t="s">
        <v>69</v>
      </c>
      <c r="D38" s="3" t="str">
        <f t="shared" si="0"/>
        <v>40.3828891</v>
      </c>
      <c r="E38" s="3" t="str">
        <f t="shared" si="1"/>
        <v>-3.6738714</v>
      </c>
    </row>
    <row r="39" spans="1:5" ht="15.75" customHeight="1" x14ac:dyDescent="0.2">
      <c r="A39" s="11">
        <v>38</v>
      </c>
      <c r="B39" s="8" t="s">
        <v>121</v>
      </c>
      <c r="C39" s="6" t="s">
        <v>94</v>
      </c>
      <c r="D39" s="3" t="str">
        <f t="shared" si="0"/>
        <v>40.3812600</v>
      </c>
      <c r="E39" s="3" t="str">
        <f t="shared" si="1"/>
        <v>-3.6744000</v>
      </c>
    </row>
    <row r="40" spans="1:5" ht="15.75" customHeight="1" x14ac:dyDescent="0.2">
      <c r="A40" s="11">
        <v>39</v>
      </c>
      <c r="B40" s="8" t="s">
        <v>122</v>
      </c>
      <c r="C40" s="6" t="s">
        <v>95</v>
      </c>
      <c r="D40" s="3" t="str">
        <f t="shared" si="0"/>
        <v>40.4072969</v>
      </c>
      <c r="E40" s="3" t="str">
        <f t="shared" si="1"/>
        <v>-3.7022120</v>
      </c>
    </row>
    <row r="41" spans="1:5" ht="15.75" customHeight="1" x14ac:dyDescent="0.2">
      <c r="A41" s="11">
        <v>40</v>
      </c>
      <c r="B41" s="8" t="s">
        <v>123</v>
      </c>
      <c r="C41" s="6" t="s">
        <v>96</v>
      </c>
      <c r="D41" s="3" t="str">
        <f t="shared" si="0"/>
        <v>40.4081618</v>
      </c>
      <c r="E41" s="3" t="str">
        <f t="shared" si="1"/>
        <v>-3.7042512</v>
      </c>
    </row>
    <row r="42" spans="1:5" ht="15.75" customHeight="1" x14ac:dyDescent="0.2">
      <c r="A42" s="11">
        <v>41</v>
      </c>
      <c r="B42" s="8" t="s">
        <v>124</v>
      </c>
      <c r="C42" s="6" t="s">
        <v>70</v>
      </c>
      <c r="D42" s="3" t="str">
        <f t="shared" si="0"/>
        <v>40.4152606</v>
      </c>
      <c r="E42" s="3" t="str">
        <f t="shared" si="1"/>
        <v>-3.6844995</v>
      </c>
    </row>
    <row r="43" spans="1:5" ht="15.75" customHeight="1" x14ac:dyDescent="0.2">
      <c r="A43" s="11">
        <v>42</v>
      </c>
      <c r="B43" s="8" t="s">
        <v>125</v>
      </c>
      <c r="C43" s="6" t="s">
        <v>71</v>
      </c>
      <c r="D43" s="3" t="str">
        <f t="shared" si="0"/>
        <v>40.3976895</v>
      </c>
      <c r="E43" s="3" t="str">
        <f t="shared" si="1"/>
        <v>-3.7189190</v>
      </c>
    </row>
    <row r="44" spans="1:5" ht="15.75" customHeight="1" x14ac:dyDescent="0.2">
      <c r="A44" s="11">
        <v>43</v>
      </c>
      <c r="B44" s="8" t="s">
        <v>126</v>
      </c>
      <c r="C44" s="6" t="s">
        <v>72</v>
      </c>
      <c r="D44" s="3" t="str">
        <f t="shared" si="0"/>
        <v>Calle Gandía, 1 - local 9A, 28007, MADRID: Not Found (try again, you may have done too many too fast)</v>
      </c>
      <c r="E44" s="3" t="str">
        <f t="shared" si="1"/>
        <v>Calle Gandía, 1 - local 9A, 28007, MADRID: Not Found (try again, you may have done too many too fast)</v>
      </c>
    </row>
    <row r="45" spans="1:5" ht="15.75" customHeight="1" x14ac:dyDescent="0.2">
      <c r="A45" s="11">
        <v>44</v>
      </c>
      <c r="B45" s="8" t="s">
        <v>127</v>
      </c>
      <c r="C45" s="6" t="s">
        <v>97</v>
      </c>
      <c r="D45" s="3" t="str">
        <f t="shared" si="0"/>
        <v>40.3900276</v>
      </c>
      <c r="E45" s="3" t="str">
        <f t="shared" si="1"/>
        <v>-3.6377506</v>
      </c>
    </row>
    <row r="46" spans="1:5" ht="15.75" customHeight="1" x14ac:dyDescent="0.2">
      <c r="A46" s="11">
        <v>45</v>
      </c>
      <c r="B46" s="8" t="s">
        <v>128</v>
      </c>
      <c r="C46" s="6" t="s">
        <v>73</v>
      </c>
      <c r="D46" s="3" t="str">
        <f t="shared" si="0"/>
        <v>40.4316130</v>
      </c>
      <c r="E46" s="3" t="str">
        <f t="shared" si="1"/>
        <v>-3.6243748</v>
      </c>
    </row>
    <row r="47" spans="1:5" ht="15.75" customHeight="1" x14ac:dyDescent="0.2">
      <c r="A47" s="11">
        <v>46</v>
      </c>
      <c r="B47" s="8" t="s">
        <v>129</v>
      </c>
      <c r="C47" s="6" t="s">
        <v>74</v>
      </c>
      <c r="D47" s="3" t="str">
        <f t="shared" si="0"/>
        <v>40.4002336</v>
      </c>
      <c r="E47" s="3" t="str">
        <f t="shared" si="1"/>
        <v>-3.6937959</v>
      </c>
    </row>
    <row r="48" spans="1:5" ht="15.75" customHeight="1" x14ac:dyDescent="0.2">
      <c r="A48" s="11">
        <v>47</v>
      </c>
      <c r="B48" s="8" t="s">
        <v>130</v>
      </c>
      <c r="C48" s="6" t="s">
        <v>75</v>
      </c>
      <c r="D48" s="3" t="str">
        <f t="shared" si="0"/>
        <v>40.4683947</v>
      </c>
      <c r="E48" s="3" t="str">
        <f t="shared" si="1"/>
        <v>-3.6956819</v>
      </c>
    </row>
    <row r="49" spans="1:5" ht="15.75" customHeight="1" x14ac:dyDescent="0.2">
      <c r="A49" s="11">
        <v>48</v>
      </c>
      <c r="B49" s="12" t="s">
        <v>130</v>
      </c>
      <c r="C49" s="6" t="s">
        <v>76</v>
      </c>
      <c r="D49" s="3" t="str">
        <f t="shared" si="0"/>
        <v>40.4688718</v>
      </c>
      <c r="E49" s="3" t="str">
        <f t="shared" si="1"/>
        <v>-3.6971314</v>
      </c>
    </row>
    <row r="50" spans="1:5" ht="15.75" customHeight="1" x14ac:dyDescent="0.2">
      <c r="A50" s="11">
        <v>49</v>
      </c>
      <c r="B50" s="8" t="s">
        <v>131</v>
      </c>
      <c r="C50" s="6" t="s">
        <v>77</v>
      </c>
      <c r="D50" s="3" t="str">
        <f t="shared" si="0"/>
        <v>40.4121602</v>
      </c>
      <c r="E50" s="3" t="str">
        <f t="shared" si="1"/>
        <v>-3.7015598</v>
      </c>
    </row>
    <row r="51" spans="1:5" ht="15.75" customHeight="1" x14ac:dyDescent="0.2">
      <c r="A51" s="11">
        <v>50</v>
      </c>
      <c r="B51" s="8" t="s">
        <v>132</v>
      </c>
      <c r="C51" s="6" t="s">
        <v>78</v>
      </c>
      <c r="D51" s="3" t="str">
        <f t="shared" si="0"/>
        <v>Calle José Marañón, 15-E, 28010, MADRID: Not Found (try again, you may have done too many too fast)</v>
      </c>
      <c r="E51" s="3" t="str">
        <f t="shared" si="1"/>
        <v>Calle José Marañón, 15-E, 28010, MADRID: Not Found (try again, you may have done too many too fast)</v>
      </c>
    </row>
    <row r="52" spans="1:5" ht="15.75" customHeight="1" x14ac:dyDescent="0.2">
      <c r="A52" s="11">
        <v>51</v>
      </c>
      <c r="B52" s="8" t="s">
        <v>133</v>
      </c>
      <c r="C52" s="6" t="s">
        <v>79</v>
      </c>
      <c r="D52" s="3" t="str">
        <f t="shared" si="0"/>
        <v>40.4069284</v>
      </c>
      <c r="E52" s="3" t="str">
        <f t="shared" si="1"/>
        <v>-3.7051297</v>
      </c>
    </row>
    <row r="53" spans="1:5" ht="15.75" customHeight="1" x14ac:dyDescent="0.2">
      <c r="A53" s="11">
        <v>52</v>
      </c>
      <c r="B53" s="8" t="s">
        <v>134</v>
      </c>
      <c r="C53" s="6" t="s">
        <v>80</v>
      </c>
      <c r="D53" s="3" t="str">
        <f t="shared" si="0"/>
        <v>40.4164983</v>
      </c>
      <c r="E53" s="3" t="str">
        <f t="shared" si="1"/>
        <v>-3.7080934</v>
      </c>
    </row>
    <row r="54" spans="1:5" ht="15.75" customHeight="1" x14ac:dyDescent="0.2">
      <c r="A54" s="11">
        <v>53</v>
      </c>
      <c r="B54" s="8" t="s">
        <v>135</v>
      </c>
      <c r="C54" s="6" t="s">
        <v>81</v>
      </c>
      <c r="D54" s="3" t="str">
        <f t="shared" si="0"/>
        <v>40.4876812</v>
      </c>
      <c r="E54" s="3" t="str">
        <f t="shared" si="1"/>
        <v>-3.6945570</v>
      </c>
    </row>
    <row r="55" spans="1:5" ht="15.75" customHeight="1" x14ac:dyDescent="0.2">
      <c r="A55" s="11">
        <v>54</v>
      </c>
      <c r="B55" s="8" t="s">
        <v>136</v>
      </c>
      <c r="C55" s="6" t="s">
        <v>82</v>
      </c>
      <c r="D55" s="3" t="str">
        <f t="shared" si="0"/>
        <v>40.4032538</v>
      </c>
      <c r="E55" s="3" t="str">
        <f t="shared" si="1"/>
        <v>-3.7019884</v>
      </c>
    </row>
    <row r="56" spans="1:5" ht="15.75" customHeight="1" x14ac:dyDescent="0.2">
      <c r="A56" s="11">
        <v>55</v>
      </c>
      <c r="B56" s="8" t="s">
        <v>137</v>
      </c>
      <c r="C56" s="6" t="s">
        <v>98</v>
      </c>
      <c r="D56" s="3" t="str">
        <f t="shared" si="0"/>
        <v>40.4088215</v>
      </c>
      <c r="E56" s="3" t="str">
        <f t="shared" si="1"/>
        <v>-3.7074530</v>
      </c>
    </row>
    <row r="57" spans="1:5" ht="15.75" customHeight="1" x14ac:dyDescent="0.2">
      <c r="A57" s="11">
        <v>56</v>
      </c>
      <c r="B57" s="8" t="s">
        <v>138</v>
      </c>
      <c r="C57" s="6"/>
      <c r="D57" s="3" t="str">
        <f t="shared" si="0"/>
        <v>: Not Found (try again, you may have done too many too fast)</v>
      </c>
      <c r="E57" s="3" t="str">
        <f t="shared" si="1"/>
        <v>: Not Found (try again, you may have done too many too fast)</v>
      </c>
    </row>
    <row r="58" spans="1:5" ht="15.75" customHeight="1" x14ac:dyDescent="0.2">
      <c r="A58" s="11">
        <v>57</v>
      </c>
      <c r="B58" s="8" t="s">
        <v>139</v>
      </c>
      <c r="C58" s="6" t="s">
        <v>83</v>
      </c>
      <c r="D58" s="3" t="str">
        <f t="shared" si="0"/>
        <v>Cañizares, 3, 28012, MADRID: Not Found (try again, you may have done too many too fast)</v>
      </c>
      <c r="E58" s="3" t="str">
        <f t="shared" si="1"/>
        <v>Cañizares, 3, 28012, MADRID: Not Found (try again, you may have done too many too fast)</v>
      </c>
    </row>
    <row r="59" spans="1:5" ht="15.75" customHeight="1" x14ac:dyDescent="0.2">
      <c r="A59" s="11">
        <v>58</v>
      </c>
      <c r="B59" s="8" t="s">
        <v>140</v>
      </c>
      <c r="C59" s="6"/>
      <c r="D59" s="3" t="str">
        <f t="shared" si="0"/>
        <v>: Not Found (try again, you may have done too many too fast)</v>
      </c>
      <c r="E59" s="3" t="str">
        <f t="shared" si="1"/>
        <v>: Not Found (try again, you may have done too many too fast)</v>
      </c>
    </row>
    <row r="60" spans="1:5" ht="15.75" customHeight="1" x14ac:dyDescent="0.2">
      <c r="A60" s="11">
        <v>59</v>
      </c>
      <c r="B60" s="8" t="s">
        <v>6</v>
      </c>
      <c r="C60" s="6" t="s">
        <v>99</v>
      </c>
      <c r="D60" s="3" t="str">
        <f t="shared" si="0"/>
        <v>Melendez Valdés, 52, 28015, MADRID: Not Found (try again, you may have done too many too fast)</v>
      </c>
      <c r="E60" s="3" t="str">
        <f t="shared" si="1"/>
        <v>Melendez Valdés, 52, 28015, MADRID: Not Found (try again, you may have done too many too fast)</v>
      </c>
    </row>
    <row r="61" spans="1:5" ht="15.75" customHeight="1" x14ac:dyDescent="0.2">
      <c r="A61" s="11">
        <v>60</v>
      </c>
      <c r="B61" s="8" t="s">
        <v>141</v>
      </c>
      <c r="C61" s="6" t="s">
        <v>99</v>
      </c>
      <c r="D61" s="3" t="str">
        <f t="shared" si="0"/>
        <v>Melendez Valdés, 52, 28015, MADRID: Not Found (try again, you may have done too many too fast)</v>
      </c>
      <c r="E61" s="3" t="str">
        <f t="shared" si="1"/>
        <v>Melendez Valdés, 52, 28015, MADRID: Not Found (try again, you may have done too many too fast)</v>
      </c>
    </row>
    <row r="62" spans="1:5" ht="15.75" customHeight="1" x14ac:dyDescent="0.2">
      <c r="A62" s="11">
        <v>61</v>
      </c>
      <c r="B62" s="8" t="s">
        <v>142</v>
      </c>
      <c r="C62" s="6" t="s">
        <v>100</v>
      </c>
      <c r="D62" s="3" t="str">
        <f t="shared" si="0"/>
        <v>40.4165508</v>
      </c>
      <c r="E62" s="3" t="str">
        <f t="shared" si="1"/>
        <v>-3.7037990</v>
      </c>
    </row>
    <row r="63" spans="1:5" ht="15.75" customHeight="1" x14ac:dyDescent="0.2">
      <c r="A63" s="11">
        <v>62</v>
      </c>
      <c r="B63" s="8" t="s">
        <v>143</v>
      </c>
      <c r="C63" s="6" t="s">
        <v>101</v>
      </c>
      <c r="D63" s="3" t="str">
        <f t="shared" si="0"/>
        <v>40.4081110</v>
      </c>
      <c r="E63" s="3" t="str">
        <f t="shared" si="1"/>
        <v>-3.7045830</v>
      </c>
    </row>
    <row r="64" spans="1:5" ht="15.75" customHeight="1" x14ac:dyDescent="0.2">
      <c r="A64" s="11">
        <v>63</v>
      </c>
      <c r="B64" s="8" t="s">
        <v>144</v>
      </c>
      <c r="C64" s="6" t="s">
        <v>102</v>
      </c>
      <c r="D64" s="3" t="str">
        <f t="shared" si="0"/>
        <v>40.4116859</v>
      </c>
      <c r="E64" s="3" t="str">
        <f t="shared" si="1"/>
        <v>-3.7062671</v>
      </c>
    </row>
    <row r="65" spans="1:5" ht="15.75" customHeight="1" x14ac:dyDescent="0.2">
      <c r="A65" s="8">
        <v>64</v>
      </c>
      <c r="B65" s="8" t="s">
        <v>145</v>
      </c>
      <c r="C65" s="8" t="s">
        <v>158</v>
      </c>
      <c r="D65" s="3" t="str">
        <f t="shared" si="0"/>
        <v>Av. de la Institución Libre de Enseñanza, 41, 28037 Madrid, Spain: Not Found (try again, you may have done too many too fast)</v>
      </c>
      <c r="E65" s="3" t="str">
        <f t="shared" si="1"/>
        <v>Av. de la Institución Libre de Enseñanza, 41, 28037 Madrid, Spain: Not Found (try again, you may have done too many too fast)</v>
      </c>
    </row>
    <row r="66" spans="1:5" ht="15.75" customHeight="1" x14ac:dyDescent="0.2">
      <c r="A66" s="8">
        <v>65</v>
      </c>
      <c r="B66" s="8" t="s">
        <v>146</v>
      </c>
      <c r="C66" s="6"/>
      <c r="D66" s="3" t="str">
        <f t="shared" si="0"/>
        <v>: Not Found (try again, you may have done too many too fast)</v>
      </c>
      <c r="E66" s="3" t="str">
        <f t="shared" ref="E66:E69" si="3">GetLongitud(C66)</f>
        <v>: Not Found (try again, you may have done too many too fast)</v>
      </c>
    </row>
    <row r="67" spans="1:5" ht="15.75" customHeight="1" x14ac:dyDescent="0.2">
      <c r="A67" s="8">
        <v>66</v>
      </c>
      <c r="B67" s="8" t="s">
        <v>147</v>
      </c>
      <c r="C67" s="6" t="s">
        <v>103</v>
      </c>
      <c r="D67" s="3" t="str">
        <f t="shared" ref="D67:D69" si="4">GetLatitude(C67)</f>
        <v>40.3991868</v>
      </c>
      <c r="E67" s="3" t="str">
        <f t="shared" si="3"/>
        <v>-3.7019980</v>
      </c>
    </row>
    <row r="68" spans="1:5" ht="15.75" customHeight="1" x14ac:dyDescent="0.2">
      <c r="A68" s="8">
        <v>67</v>
      </c>
      <c r="B68" s="8" t="s">
        <v>148</v>
      </c>
      <c r="C68" s="6" t="s">
        <v>84</v>
      </c>
      <c r="D68" s="3" t="str">
        <f t="shared" si="4"/>
        <v>40.4105204</v>
      </c>
      <c r="E68" s="3" t="str">
        <f t="shared" si="3"/>
        <v>-3.6935854</v>
      </c>
    </row>
    <row r="69" spans="1:5" ht="15.75" customHeight="1" x14ac:dyDescent="0.2">
      <c r="A69" s="8">
        <v>68</v>
      </c>
      <c r="B69" s="8" t="s">
        <v>149</v>
      </c>
      <c r="C69" s="6" t="s">
        <v>84</v>
      </c>
      <c r="D69" s="3" t="str">
        <f t="shared" si="4"/>
        <v>40.4105204</v>
      </c>
      <c r="E69" s="3" t="str">
        <f t="shared" si="3"/>
        <v>-3.6935854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16467-7B92-4636-9468-C278C9E215C1}">
  <sheetPr codeName="Sheet2"/>
  <dimension ref="A1:A5"/>
  <sheetViews>
    <sheetView workbookViewId="0">
      <selection activeCell="B1" sqref="B1"/>
    </sheetView>
  </sheetViews>
  <sheetFormatPr defaultRowHeight="12.75" x14ac:dyDescent="0.2"/>
  <cols>
    <col min="1" max="1" width="18" customWidth="1"/>
  </cols>
  <sheetData>
    <row r="1" spans="1:1" x14ac:dyDescent="0.2">
      <c r="A1" s="1" t="s">
        <v>22</v>
      </c>
    </row>
    <row r="2" spans="1:1" x14ac:dyDescent="0.2">
      <c r="A2" t="s">
        <v>23</v>
      </c>
    </row>
    <row r="3" spans="1:1" x14ac:dyDescent="0.2">
      <c r="A3" t="s">
        <v>24</v>
      </c>
    </row>
    <row r="4" spans="1:1" x14ac:dyDescent="0.2">
      <c r="A4" t="s">
        <v>25</v>
      </c>
    </row>
    <row r="5" spans="1:1" x14ac:dyDescent="0.2">
      <c r="A5" t="s">
        <v>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0D820-F10B-4EA3-AE12-64B6D2C8120C}">
  <sheetPr codeName="Sheet3"/>
  <dimension ref="A1:E12"/>
  <sheetViews>
    <sheetView workbookViewId="0">
      <selection activeCell="A3" sqref="A3"/>
    </sheetView>
  </sheetViews>
  <sheetFormatPr defaultRowHeight="12.75" x14ac:dyDescent="0.2"/>
  <cols>
    <col min="1" max="1" width="8.140625" bestFit="1" customWidth="1"/>
    <col min="2" max="2" width="46" customWidth="1"/>
    <col min="3" max="5" width="11.85546875" bestFit="1" customWidth="1"/>
  </cols>
  <sheetData>
    <row r="1" spans="1:5" x14ac:dyDescent="0.2">
      <c r="A1" s="1" t="s">
        <v>38</v>
      </c>
      <c r="B1" s="1" t="s">
        <v>23</v>
      </c>
      <c r="C1" s="1" t="s">
        <v>24</v>
      </c>
      <c r="D1" s="1" t="s">
        <v>25</v>
      </c>
      <c r="E1" s="1" t="s">
        <v>26</v>
      </c>
    </row>
    <row r="2" spans="1:5" x14ac:dyDescent="0.2">
      <c r="A2" s="2" t="s">
        <v>39</v>
      </c>
      <c r="B2" t="s">
        <v>27</v>
      </c>
      <c r="C2" s="2" t="s">
        <v>50</v>
      </c>
      <c r="D2" s="2" t="s">
        <v>50</v>
      </c>
      <c r="E2" s="2" t="s">
        <v>50</v>
      </c>
    </row>
    <row r="3" spans="1:5" x14ac:dyDescent="0.2">
      <c r="A3" s="2" t="s">
        <v>40</v>
      </c>
      <c r="B3" t="s">
        <v>28</v>
      </c>
      <c r="C3" s="2" t="s">
        <v>50</v>
      </c>
      <c r="D3" s="2" t="s">
        <v>50</v>
      </c>
      <c r="E3" s="2" t="s">
        <v>50</v>
      </c>
    </row>
    <row r="4" spans="1:5" x14ac:dyDescent="0.2">
      <c r="A4" s="2" t="s">
        <v>41</v>
      </c>
      <c r="B4" t="s">
        <v>29</v>
      </c>
      <c r="C4" s="2" t="s">
        <v>50</v>
      </c>
      <c r="D4" s="2" t="s">
        <v>50</v>
      </c>
      <c r="E4" s="2" t="s">
        <v>50</v>
      </c>
    </row>
    <row r="5" spans="1:5" x14ac:dyDescent="0.2">
      <c r="A5" s="2" t="s">
        <v>42</v>
      </c>
      <c r="B5" t="s">
        <v>30</v>
      </c>
      <c r="C5" s="2" t="s">
        <v>50</v>
      </c>
      <c r="D5" s="2" t="s">
        <v>50</v>
      </c>
      <c r="E5" s="2" t="s">
        <v>50</v>
      </c>
    </row>
    <row r="6" spans="1:5" x14ac:dyDescent="0.2">
      <c r="A6" s="2" t="s">
        <v>43</v>
      </c>
      <c r="B6" t="s">
        <v>31</v>
      </c>
      <c r="C6" s="2" t="s">
        <v>50</v>
      </c>
      <c r="D6" s="2" t="s">
        <v>50</v>
      </c>
      <c r="E6" s="2" t="s">
        <v>50</v>
      </c>
    </row>
    <row r="7" spans="1:5" x14ac:dyDescent="0.2">
      <c r="A7" s="2" t="s">
        <v>44</v>
      </c>
      <c r="B7" t="s">
        <v>32</v>
      </c>
      <c r="C7" s="2" t="s">
        <v>50</v>
      </c>
      <c r="D7" s="2" t="s">
        <v>50</v>
      </c>
      <c r="E7" s="2" t="s">
        <v>50</v>
      </c>
    </row>
    <row r="8" spans="1:5" x14ac:dyDescent="0.2">
      <c r="A8" s="2" t="s">
        <v>45</v>
      </c>
      <c r="B8" t="s">
        <v>33</v>
      </c>
      <c r="C8" s="2" t="s">
        <v>50</v>
      </c>
      <c r="D8" s="2" t="s">
        <v>50</v>
      </c>
      <c r="E8" s="2" t="s">
        <v>50</v>
      </c>
    </row>
    <row r="9" spans="1:5" x14ac:dyDescent="0.2">
      <c r="A9" s="2" t="s">
        <v>46</v>
      </c>
      <c r="B9" t="s">
        <v>34</v>
      </c>
      <c r="C9" s="2" t="s">
        <v>50</v>
      </c>
      <c r="D9" s="2" t="s">
        <v>50</v>
      </c>
      <c r="E9" s="2" t="s">
        <v>50</v>
      </c>
    </row>
    <row r="10" spans="1:5" x14ac:dyDescent="0.2">
      <c r="A10" s="2" t="s">
        <v>47</v>
      </c>
      <c r="B10" t="s">
        <v>35</v>
      </c>
      <c r="C10" s="2" t="s">
        <v>50</v>
      </c>
      <c r="D10" s="2" t="s">
        <v>50</v>
      </c>
      <c r="E10" s="2" t="s">
        <v>50</v>
      </c>
    </row>
    <row r="11" spans="1:5" x14ac:dyDescent="0.2">
      <c r="A11" s="2" t="s">
        <v>48</v>
      </c>
      <c r="B11" t="s">
        <v>36</v>
      </c>
      <c r="C11" s="2" t="s">
        <v>50</v>
      </c>
      <c r="D11" s="2" t="s">
        <v>50</v>
      </c>
      <c r="E11" s="2" t="s">
        <v>50</v>
      </c>
    </row>
    <row r="12" spans="1:5" x14ac:dyDescent="0.2">
      <c r="A12" s="2" t="s">
        <v>49</v>
      </c>
      <c r="B12" t="s">
        <v>37</v>
      </c>
      <c r="C12" s="2" t="s">
        <v>50</v>
      </c>
      <c r="D12" s="2" t="s">
        <v>50</v>
      </c>
      <c r="E12" s="2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Reference</vt:lpstr>
      <vt:lpstr>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Treasury Centro Asturiano Ginebra</cp:lastModifiedBy>
  <cp:lastPrinted>2018-11-27T23:22:51Z</cp:lastPrinted>
  <dcterms:created xsi:type="dcterms:W3CDTF">2018-12-01T13:17:14Z</dcterms:created>
  <dcterms:modified xsi:type="dcterms:W3CDTF">2019-03-11T19:51:12Z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d111fbaf-dac9-4134-bd49-3a631126ede2</vt:lpwstr>
  </property>
</Properties>
</file>