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ync\Carlos\MadridForAll\madrid-for-all\excel-to-json\"/>
    </mc:Choice>
  </mc:AlternateContent>
  <xr:revisionPtr revIDLastSave="0" documentId="13_ncr:1_{BFBEFD55-A956-4A49-A7F2-8B2DBE960382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Data" sheetId="1" r:id="rId1"/>
    <sheet name="Reference" sheetId="2" r:id="rId2"/>
    <sheet name="Categories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2" i="1" l="1"/>
  <c r="W23" i="1" l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Y4" i="1"/>
  <c r="Y12" i="1"/>
  <c r="Y14" i="1"/>
  <c r="Y17" i="1"/>
  <c r="X21" i="1"/>
  <c r="X8" i="1"/>
  <c r="Y22" i="1"/>
  <c r="X4" i="1"/>
  <c r="X6" i="1"/>
  <c r="X16" i="1"/>
  <c r="X13" i="1"/>
  <c r="Y20" i="1"/>
  <c r="Y10" i="1"/>
  <c r="Y23" i="1"/>
  <c r="X12" i="1"/>
  <c r="X22" i="1"/>
  <c r="X9" i="1"/>
  <c r="Y5" i="1"/>
  <c r="Y7" i="1"/>
  <c r="X20" i="1"/>
  <c r="X7" i="1"/>
  <c r="X10" i="1"/>
  <c r="Y13" i="1"/>
  <c r="Y18" i="1"/>
  <c r="X14" i="1"/>
  <c r="X15" i="1"/>
  <c r="X19" i="1"/>
  <c r="X3" i="1"/>
  <c r="Y3" i="1"/>
  <c r="Y11" i="1"/>
  <c r="Y21" i="1"/>
  <c r="Y8" i="1"/>
  <c r="X11" i="1"/>
  <c r="X23" i="1"/>
  <c r="X18" i="1"/>
  <c r="X2" i="1"/>
  <c r="Y6" i="1"/>
  <c r="Y19" i="1"/>
  <c r="Y15" i="1"/>
  <c r="Y16" i="1"/>
  <c r="X5" i="1"/>
  <c r="X17" i="1"/>
  <c r="Y9" i="1"/>
  <c r="Y2" i="1"/>
</calcChain>
</file>

<file path=xl/sharedStrings.xml><?xml version="1.0" encoding="utf-8"?>
<sst xmlns="http://schemas.openxmlformats.org/spreadsheetml/2006/main" count="391" uniqueCount="242">
  <si>
    <t>aem@alternativaenmarcha.org</t>
  </si>
  <si>
    <t>www.alternativaenmarcha.org</t>
  </si>
  <si>
    <t>coordinador@alternativaenmarcha.org</t>
  </si>
  <si>
    <t>HERMANDAD DEL REFUGIO DE MADRID</t>
  </si>
  <si>
    <t>hermandad@refugio.e.telefonica.net</t>
  </si>
  <si>
    <t>www.realhermandaddelrefugio.org</t>
  </si>
  <si>
    <t>salud.madrid@fundaciontriangulo.es</t>
  </si>
  <si>
    <t>http://www.fundaciontriangulo.org/</t>
  </si>
  <si>
    <t>jorge.alamo@fundaciontriangulo.es</t>
  </si>
  <si>
    <t>apoyo@asociacionapoyo.org</t>
  </si>
  <si>
    <t>roenred@asociacionapoyo.org</t>
  </si>
  <si>
    <t>info@lavillana.org</t>
  </si>
  <si>
    <t>www.lavillana.org</t>
  </si>
  <si>
    <t>lamerced@lamercedmigraciones.org</t>
  </si>
  <si>
    <t>www.lamercedmigraciones.org</t>
  </si>
  <si>
    <t>karlossanpedro@lamercedmigraciones.org</t>
  </si>
  <si>
    <t>jsanzlan@ucm.es</t>
  </si>
  <si>
    <t>info@asociacionrealidades.org</t>
  </si>
  <si>
    <t>comunicacion@asociacionrealidades.org</t>
  </si>
  <si>
    <t>ASOCIACIÓN CULTURAL LA KALLE</t>
  </si>
  <si>
    <t>asociacion@lakalle.org</t>
  </si>
  <si>
    <t>www.lakalle.org</t>
  </si>
  <si>
    <t>bienvenida@ingobernable.net</t>
  </si>
  <si>
    <t>www.ingobernable.net</t>
  </si>
  <si>
    <t xml:space="preserve"> bienvenida@ingobernable.net</t>
  </si>
  <si>
    <t>ASOCIACION CULTURAL NORTE JOVEN</t>
  </si>
  <si>
    <t>nortejoven@nortejoven.org</t>
  </si>
  <si>
    <t>www.nortejoven.org</t>
  </si>
  <si>
    <t>EVA JUAREZ</t>
  </si>
  <si>
    <t>enredadera@riseup.net</t>
  </si>
  <si>
    <t>laenredaderadetetuan.wordpress.com</t>
  </si>
  <si>
    <t>info@terapiasinfronteras.com</t>
  </si>
  <si>
    <t>www.terapiasinfronteras.com</t>
  </si>
  <si>
    <t>terapiasinfronteras@gmail.com</t>
  </si>
  <si>
    <t>ASOCIACION CULTURAL GANDALF</t>
  </si>
  <si>
    <t>http://acgandalf-gandalf.blogspot.com.es/</t>
  </si>
  <si>
    <t>ROSA</t>
  </si>
  <si>
    <t>cepiarganzuela@larueca.info</t>
  </si>
  <si>
    <t>www.larueca.info</t>
  </si>
  <si>
    <t>coordinacioncepi@larueca.info</t>
  </si>
  <si>
    <t>administracion@kifkif.info</t>
  </si>
  <si>
    <t>https://kifkif.info/</t>
  </si>
  <si>
    <t>afroaidmail@gmail.com</t>
  </si>
  <si>
    <t>www.afroaid.net</t>
  </si>
  <si>
    <t>mcruzrubio@hotmail.com</t>
  </si>
  <si>
    <t>cepa.infancia@gmail.com</t>
  </si>
  <si>
    <t>info@orbitadiversa.org</t>
  </si>
  <si>
    <t>https://orbitadiversa.wordpress.com/</t>
  </si>
  <si>
    <t>matteo.ryu@orbitadiversa.org</t>
  </si>
  <si>
    <t>info@sosracismomadrid.es</t>
  </si>
  <si>
    <t>www.sosracismomadrid.es</t>
  </si>
  <si>
    <t>oid@sosracismomadrid.es</t>
  </si>
  <si>
    <t>avpalomadehesa@gmail.com</t>
  </si>
  <si>
    <t>www.avpalomadehesa.com</t>
  </si>
  <si>
    <t>ASOCIACION VALPONASCA</t>
  </si>
  <si>
    <t>valponasca@valponasca.org</t>
  </si>
  <si>
    <t>www.valponasca.org</t>
  </si>
  <si>
    <t>casaplaza@valponasca.org</t>
  </si>
  <si>
    <t>ALTERNATIVA EN MARCHA</t>
  </si>
  <si>
    <t>CIUDAD LINEAL</t>
  </si>
  <si>
    <t>TODAS LAS MAÑANAS, CON CITA PREVIA TELEFÓNICA</t>
  </si>
  <si>
    <t>SÍ</t>
  </si>
  <si>
    <t>CONTACTO TELEFÓNICO</t>
  </si>
  <si>
    <t>ÁLVARO JUNQUERA</t>
  </si>
  <si>
    <t>CONTACTO TELEFÓNICO, ENVIANDO UN E-MAIL</t>
  </si>
  <si>
    <t>CORREDERA BAJA DE SAN PABLO 16</t>
  </si>
  <si>
    <t>CENTRO</t>
  </si>
  <si>
    <t>NO</t>
  </si>
  <si>
    <t>MIERCOLES RECOGER NÚMERO, LUNES SIGUIENTE ENTREGA DE ROPA</t>
  </si>
  <si>
    <t>VISITANDO NUESTRA SEDE, MIERCOLES DE 10,30 A 11,30</t>
  </si>
  <si>
    <t>MIÉRCOLES SE RECOGE NÚMERO DE ORDEN Y LA SEMANA SIGUIENTE EL LUNES SE ENTREGA LA ROPA. MESES DE VERANO JULIO Y AGOSTO CERRAMOS TAMBIÉN FIESTAS NO ATIENDEN.</t>
  </si>
  <si>
    <t>ÁNGELES O MARTA</t>
  </si>
  <si>
    <t>FUNDACIÓN TRIÁNGULO MADRID</t>
  </si>
  <si>
    <t>CHAMBERÍ</t>
  </si>
  <si>
    <t>TODAS LAS MAÑANAS, TODAS LAS TARDES</t>
  </si>
  <si>
    <t>CONTACTO TELEFÓNICO, ENVIANDO UN E-MAIL, VISITANDO NUESTRA SEDE</t>
  </si>
  <si>
    <t>INFORMACIÓN Y ACOMPAÑAMIENTO PARA VINCULACIÓN AL SISTEMA SANITARIO MADRILEÑO DE POBLACIÓN EN SITUACIÓN ADMINISTRATIVA IRREGULAR VIVIENDO CON EL VIH.</t>
  </si>
  <si>
    <t>JORGE ALAMO BARROSO</t>
  </si>
  <si>
    <t>ASOCIACIÓN APOYO</t>
  </si>
  <si>
    <t>CORREGIDOR DIEGO DE VALDERRABANO 45</t>
  </si>
  <si>
    <t>MORATALAZ</t>
  </si>
  <si>
    <t>TODAS LAS MAÑANAS, TARDES DE MIÉRCOLES Y VIERNES</t>
  </si>
  <si>
    <t>ROBERTO</t>
  </si>
  <si>
    <t>LA VILLANA</t>
  </si>
  <si>
    <t>PUENTE DE VALLECAS</t>
  </si>
  <si>
    <t>TODAS LAS TARDES</t>
  </si>
  <si>
    <t>HORARIOS DE LAS ACTIVIDADES: HTTP://WWW.LAVILLANA.ORG/AGENDA/</t>
  </si>
  <si>
    <t>LA MERCED MIGRACIONES</t>
  </si>
  <si>
    <t>KARLOS SAN PEDRO</t>
  </si>
  <si>
    <t>ESCUELA POPULAR DE ADULTOS DEL BARRIO DEL PILAR</t>
  </si>
  <si>
    <t>FUENCARRAL / EL PARDO</t>
  </si>
  <si>
    <t>LUNES Y MIERCOLES (10:30-12:00 Y 19:30-21:00) Y MARTES (19:30-20:30)</t>
  </si>
  <si>
    <t>VISITANDO NUESTRA SEDE</t>
  </si>
  <si>
    <t>JON SANZ LANDALUZE</t>
  </si>
  <si>
    <t>ASOCIACIÓN REALIDADES</t>
  </si>
  <si>
    <t>ARGANZUELA</t>
  </si>
  <si>
    <t>TODAS LAS MAÑANAS</t>
  </si>
  <si>
    <t>BEATRIZ ORTIZ</t>
  </si>
  <si>
    <t>MARTA APARICIO</t>
  </si>
  <si>
    <t>LA INGOBERNABLE</t>
  </si>
  <si>
    <t>LA ENREDADERA</t>
  </si>
  <si>
    <t>TETUAN</t>
  </si>
  <si>
    <t>ASOCIACIÓN DE PSICOTERAPIA SISTEMICA TRANSCULTURAL. TERAPIAS SIN FRONTERAS</t>
  </si>
  <si>
    <t>CONTACTO TELEFÓNICO, ENVIANDO UN E-MAIL, A TRAVÉS DE LA WEB, VISITANDO NUESTRA SEDE</t>
  </si>
  <si>
    <t>EDUARDO BRIK</t>
  </si>
  <si>
    <t>CEPI CENTRO ARGANZUELA (LA RUECA ASOCIACIÓN)</t>
  </si>
  <si>
    <t>LUNES 16-20H DE MARTES A SÁBADOS 10-14 Y 16-20H</t>
  </si>
  <si>
    <t>LAURA COMES CEREZO</t>
  </si>
  <si>
    <t>KIFKIF ASOCIACIÓN DE MIGRANTES Y REFUGIADOS LGBT DE LA COMUNIDAD DE MADRID</t>
  </si>
  <si>
    <t>A TRAVÉS DE LA WEB</t>
  </si>
  <si>
    <t>PRUEBA DE VIH</t>
  </si>
  <si>
    <t>JAVIER</t>
  </si>
  <si>
    <t>AFROAID</t>
  </si>
  <si>
    <t>FINES DE SEMANA</t>
  </si>
  <si>
    <t>ENVIANDO UN E-MAIL</t>
  </si>
  <si>
    <t>MARÍA DE LA CRUZ</t>
  </si>
  <si>
    <t>ASOCIACIÓN CEPA-PUENTE DE VALLECAS</t>
  </si>
  <si>
    <t>TARDES DE LUNES A JUEVES</t>
  </si>
  <si>
    <t>PERSONAS EN SITUACIÓN Y/O RIESGO DE EXCLUSIÓN SOCIAL</t>
  </si>
  <si>
    <t>BELÉN CAÑERO</t>
  </si>
  <si>
    <t>ORBITA DIVERSA</t>
  </si>
  <si>
    <t>MIÉRCOLES Y VIERNES DE 17H A 21H</t>
  </si>
  <si>
    <t>MATTEO RICCI UGATTI</t>
  </si>
  <si>
    <t>SOS RACISMO MADRID</t>
  </si>
  <si>
    <t>TODAS LAS MAÑANAS, MAÑANAS L-J (CITA PREVIA) Y TARDES MARTES 19:30 A 21</t>
  </si>
  <si>
    <t>CONTACTO TELEFÓNICO, ENVIANDO UN E-MAIL, EN MAÑANAS, TARDES MARTES 19:30 A 21 NO CITA PREVIA.</t>
  </si>
  <si>
    <t>DANA</t>
  </si>
  <si>
    <t>ASOCIACIÓN VECINAL PALOMA DEHESA LA VILLA</t>
  </si>
  <si>
    <t>MONCLOA / ARAVACA</t>
  </si>
  <si>
    <t>MARTES Y JUEVES DE 19:30 A 21 HORAS</t>
  </si>
  <si>
    <t>JOSÉ MARÍA</t>
  </si>
  <si>
    <t>MONICA PICHARDO GALAN</t>
  </si>
  <si>
    <t>www.asociacionrealidades.org</t>
  </si>
  <si>
    <t>gandalflf@hotmail.com</t>
  </si>
  <si>
    <t>ID</t>
  </si>
  <si>
    <t xml:space="preserve">MONTSENY, 35 </t>
  </si>
  <si>
    <t>GOBERNADOR 39</t>
  </si>
  <si>
    <t>RIVADAVIA, 20</t>
  </si>
  <si>
    <t>ANASTASIO HERRERO 10</t>
  </si>
  <si>
    <t>GENERAL ARANDA 30</t>
  </si>
  <si>
    <t>MARISMAS 37</t>
  </si>
  <si>
    <t>AGUILAR DE CAMPOO, 13</t>
  </si>
  <si>
    <t>SAN AQUILINO 27</t>
  </si>
  <si>
    <t>orgName</t>
  </si>
  <si>
    <t>orgPhone</t>
  </si>
  <si>
    <t>orgEmail</t>
  </si>
  <si>
    <t>orgWeb</t>
  </si>
  <si>
    <t>address</t>
  </si>
  <si>
    <t>postalCode</t>
  </si>
  <si>
    <t>district</t>
  </si>
  <si>
    <t>timeTable</t>
  </si>
  <si>
    <t>priorAppointment</t>
  </si>
  <si>
    <t>wayOfContact</t>
  </si>
  <si>
    <t>additionalInfo</t>
  </si>
  <si>
    <t>contactPerson</t>
  </si>
  <si>
    <t>contactPhone</t>
  </si>
  <si>
    <t>contactEmail</t>
  </si>
  <si>
    <t>fullAddress</t>
  </si>
  <si>
    <t>BETANZOS 37</t>
  </si>
  <si>
    <t>JAVIER DE MIGUEL, 92</t>
  </si>
  <si>
    <t>SAN AGUSTIN, 7</t>
  </si>
  <si>
    <t>RAFAEL FERNANDEZ HIJICOS, 2</t>
  </si>
  <si>
    <t>ARQUITECTURA 15 DUPLICADO</t>
  </si>
  <si>
    <t>ESPARTEROS 1</t>
  </si>
  <si>
    <t>ALTAMIRANO, 37</t>
  </si>
  <si>
    <t>BARRIO DE SALAMANCA</t>
  </si>
  <si>
    <t>locality</t>
  </si>
  <si>
    <t>Madrid</t>
  </si>
  <si>
    <t>LAVAPIES, 13</t>
  </si>
  <si>
    <t>BOCANGEL, 2</t>
  </si>
  <si>
    <t>BLAS DE OTERO, 66</t>
  </si>
  <si>
    <t>CACERES, 10</t>
  </si>
  <si>
    <t>MELENDEZ VALDES, 52</t>
  </si>
  <si>
    <t>Language</t>
  </si>
  <si>
    <t>ES</t>
  </si>
  <si>
    <t>FR</t>
  </si>
  <si>
    <t>EN</t>
  </si>
  <si>
    <t>AR</t>
  </si>
  <si>
    <t>Servicios básicos: Alojamiento. Comida. Comedores. Productos de higiene. Duchas públicas. Ropa.</t>
  </si>
  <si>
    <t>Salud: Atención médica general. SIDA/VIH. Adicciones. Dentista. Oculista/gafas. Vacunación. Ginecología. Atención psicológica. Atención psiquiátrica.</t>
  </si>
  <si>
    <t>Educación: Clases de español. Clases de otros idiomas. Clases de informática. Apoyo y material escolar. Formación profesional. Otras formaciones.</t>
  </si>
  <si>
    <t>Ocio: Deportes, Acceso a la cultura. Tiempo libre. Internet.</t>
  </si>
  <si>
    <t>Información legal y asistencia jurídica.</t>
  </si>
  <si>
    <t>Información y orientación laboral.</t>
  </si>
  <si>
    <t>Mujer</t>
  </si>
  <si>
    <t>Infancia y jóvenes.</t>
  </si>
  <si>
    <t>Familia.</t>
  </si>
  <si>
    <t>LGTBIQ+</t>
  </si>
  <si>
    <t>Diversidad funcional</t>
  </si>
  <si>
    <t>Code</t>
  </si>
  <si>
    <t>CAT1</t>
  </si>
  <si>
    <t>CAT2</t>
  </si>
  <si>
    <t>CAT3</t>
  </si>
  <si>
    <t>CAT4</t>
  </si>
  <si>
    <t>CAT5</t>
  </si>
  <si>
    <t>CAT6</t>
  </si>
  <si>
    <t>CAT7</t>
  </si>
  <si>
    <t>CAT8</t>
  </si>
  <si>
    <t>CAT9</t>
  </si>
  <si>
    <t>CAT10</t>
  </si>
  <si>
    <t>CAT11</t>
  </si>
  <si>
    <t>TBTranslated</t>
  </si>
  <si>
    <t>languages[]</t>
  </si>
  <si>
    <t>ES;AR</t>
  </si>
  <si>
    <t>ES;EN</t>
  </si>
  <si>
    <t>ES;EN;FR;AR</t>
  </si>
  <si>
    <t>ES;EN;FR</t>
  </si>
  <si>
    <t>categories[]</t>
  </si>
  <si>
    <t>geocode.lat</t>
  </si>
  <si>
    <t>geocode.lng</t>
  </si>
  <si>
    <t>services[]</t>
  </si>
  <si>
    <t>cat1</t>
  </si>
  <si>
    <t>cat2;cat5;cat11</t>
  </si>
  <si>
    <t>cat3</t>
  </si>
  <si>
    <t>cat4</t>
  </si>
  <si>
    <t>cat5;cat6</t>
  </si>
  <si>
    <t>cat6</t>
  </si>
  <si>
    <t>cat7</t>
  </si>
  <si>
    <t>cat8</t>
  </si>
  <si>
    <t>cat9;cat10</t>
  </si>
  <si>
    <t>cat10</t>
  </si>
  <si>
    <t>cat11</t>
  </si>
  <si>
    <t>cat2</t>
  </si>
  <si>
    <t>cat3;cat7;cat10</t>
  </si>
  <si>
    <t>cat5</t>
  </si>
  <si>
    <t>cat7;cat2</t>
  </si>
  <si>
    <t>cat9</t>
  </si>
  <si>
    <t>svc11;svc15</t>
  </si>
  <si>
    <t>svc21</t>
  </si>
  <si>
    <t>svc31</t>
  </si>
  <si>
    <t>svc41</t>
  </si>
  <si>
    <t>svc13;svc14</t>
  </si>
  <si>
    <t>svc22</t>
  </si>
  <si>
    <t>svc31;svc33</t>
  </si>
  <si>
    <t>svc42</t>
  </si>
  <si>
    <t>svc23</t>
  </si>
  <si>
    <t>targettedChild</t>
  </si>
  <si>
    <t>targettedWomen</t>
  </si>
  <si>
    <t>targettedOrigins[]</t>
  </si>
  <si>
    <t>VN</t>
  </si>
  <si>
    <t>PE</t>
  </si>
  <si>
    <t>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</si>
</sst>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0"/>
      <color rgb="FF000000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1" xfId="0" applyFont="1" applyBorder="1" applyAlignment="1"/>
    <xf numFmtId="0" fontId="2" fillId="0" borderId="1" xfId="0" applyFont="1" applyBorder="1" applyAlignment="1"/>
    <xf numFmtId="0" fontId="1" fillId="0" borderId="1" xfId="0" applyFont="1" applyBorder="1" applyAlignment="1"/>
    <xf numFmtId="0" fontId="1" fillId="0" borderId="2" xfId="0" applyFont="1" applyFill="1" applyBorder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96FABF9-B904-41A0-9A3A-69F72B1F559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Y23"/>
  <sheetViews>
    <sheetView tabSelected="1" zoomScaleNormal="100" workbookViewId="0">
      <pane ySplit="1" topLeftCell="A2" activePane="bottomLeft" state="frozen"/>
      <selection pane="bottomLeft" activeCell="D3" sqref="D3"/>
    </sheetView>
  </sheetViews>
  <sheetFormatPr defaultColWidth="14.44140625" defaultRowHeight="15.75" customHeight="1" x14ac:dyDescent="0.25"/>
  <cols>
    <col min="1" max="1" width="5.6640625" customWidth="1"/>
    <col min="2" max="2" width="44" customWidth="1"/>
    <col min="3" max="3" width="14.44140625" customWidth="1"/>
    <col min="4" max="4" width="31.88671875" bestFit="1" customWidth="1"/>
    <col min="5" max="5" width="21.5546875" customWidth="1"/>
    <col min="6" max="6" width="42.5546875" bestFit="1" customWidth="1"/>
    <col min="7" max="7" width="10.33203125" bestFit="1" customWidth="1"/>
    <col min="8" max="8" width="25" bestFit="1" customWidth="1"/>
    <col min="9" max="9" width="6.88671875" bestFit="1" customWidth="1"/>
    <col min="10" max="10" width="21.5546875" customWidth="1"/>
    <col min="11" max="11" width="15.109375" bestFit="1" customWidth="1"/>
    <col min="12" max="12" width="21.5546875" customWidth="1"/>
    <col min="13" max="13" width="15.109375" customWidth="1"/>
    <col min="14" max="14" width="13.5546875" customWidth="1"/>
    <col min="15" max="15" width="10.5546875" bestFit="1" customWidth="1"/>
    <col min="16" max="16" width="13.5546875" bestFit="1" customWidth="1"/>
    <col min="17" max="17" width="15.77734375" bestFit="1" customWidth="1"/>
    <col min="18" max="18" width="16.77734375" bestFit="1" customWidth="1"/>
    <col min="19" max="21" width="21.5546875" customWidth="1"/>
    <col min="22" max="22" width="54.44140625" customWidth="1"/>
    <col min="23" max="23" width="56.33203125" customWidth="1"/>
    <col min="24" max="24" width="11.6640625" bestFit="1" customWidth="1"/>
  </cols>
  <sheetData>
    <row r="1" spans="1:25" ht="15.75" customHeight="1" x14ac:dyDescent="0.25">
      <c r="A1" s="5" t="s">
        <v>134</v>
      </c>
      <c r="B1" s="5" t="s">
        <v>143</v>
      </c>
      <c r="C1" s="5" t="s">
        <v>144</v>
      </c>
      <c r="D1" s="5" t="s">
        <v>145</v>
      </c>
      <c r="E1" s="5" t="s">
        <v>146</v>
      </c>
      <c r="F1" s="5" t="s">
        <v>147</v>
      </c>
      <c r="G1" s="5" t="s">
        <v>148</v>
      </c>
      <c r="H1" s="5" t="s">
        <v>149</v>
      </c>
      <c r="I1" s="5" t="s">
        <v>166</v>
      </c>
      <c r="J1" s="5" t="s">
        <v>150</v>
      </c>
      <c r="K1" s="5" t="s">
        <v>151</v>
      </c>
      <c r="L1" s="5" t="s">
        <v>152</v>
      </c>
      <c r="M1" s="5" t="s">
        <v>207</v>
      </c>
      <c r="N1" s="5" t="s">
        <v>210</v>
      </c>
      <c r="O1" s="5" t="s">
        <v>202</v>
      </c>
      <c r="P1" s="5" t="s">
        <v>236</v>
      </c>
      <c r="Q1" s="5" t="s">
        <v>237</v>
      </c>
      <c r="R1" s="5" t="s">
        <v>238</v>
      </c>
      <c r="S1" s="5" t="s">
        <v>153</v>
      </c>
      <c r="T1" s="5" t="s">
        <v>154</v>
      </c>
      <c r="U1" s="5" t="s">
        <v>155</v>
      </c>
      <c r="V1" s="5" t="s">
        <v>156</v>
      </c>
      <c r="W1" s="5" t="s">
        <v>157</v>
      </c>
      <c r="X1" s="5" t="s">
        <v>208</v>
      </c>
      <c r="Y1" s="6" t="s">
        <v>209</v>
      </c>
    </row>
    <row r="2" spans="1:25" ht="15.75" customHeight="1" x14ac:dyDescent="0.25">
      <c r="A2" s="3">
        <v>1</v>
      </c>
      <c r="B2" s="3" t="s">
        <v>58</v>
      </c>
      <c r="C2" s="3">
        <v>914049118</v>
      </c>
      <c r="D2" s="3" t="s">
        <v>0</v>
      </c>
      <c r="E2" s="3" t="s">
        <v>1</v>
      </c>
      <c r="F2" s="3" t="s">
        <v>170</v>
      </c>
      <c r="G2" s="3">
        <v>28017</v>
      </c>
      <c r="H2" s="3" t="s">
        <v>59</v>
      </c>
      <c r="I2" s="3" t="s">
        <v>167</v>
      </c>
      <c r="J2" s="3" t="s">
        <v>60</v>
      </c>
      <c r="K2" s="3" t="s">
        <v>61</v>
      </c>
      <c r="L2" s="3" t="s">
        <v>62</v>
      </c>
      <c r="M2" s="3" t="s">
        <v>211</v>
      </c>
      <c r="N2" s="3" t="s">
        <v>227</v>
      </c>
      <c r="O2" s="4" t="s">
        <v>203</v>
      </c>
      <c r="P2" s="4"/>
      <c r="Q2" s="4"/>
      <c r="R2" s="4" t="s">
        <v>240</v>
      </c>
      <c r="S2" s="3"/>
      <c r="T2" s="3" t="s">
        <v>63</v>
      </c>
      <c r="U2" s="3">
        <v>914049118</v>
      </c>
      <c r="V2" s="3" t="s">
        <v>2</v>
      </c>
      <c r="W2" s="3" t="str">
        <f>F2 &amp; " " &amp; G2 &amp; ", " &amp; I2</f>
        <v>BLAS DE OTERO, 66 28017, Madrid</v>
      </c>
      <c r="X2" s="3" t="str">
        <f>GetLatitude(W2)</f>
        <v>40.4236238</v>
      </c>
      <c r="Y2" s="3" t="str">
        <f>GetLongitud(W2)</f>
        <v>-3.6508187</v>
      </c>
    </row>
    <row r="3" spans="1:25" ht="15.75" customHeight="1" x14ac:dyDescent="0.25">
      <c r="A3" s="3">
        <v>2</v>
      </c>
      <c r="B3" s="3" t="s">
        <v>3</v>
      </c>
      <c r="C3" s="3">
        <v>915220070</v>
      </c>
      <c r="D3" s="3" t="s">
        <v>4</v>
      </c>
      <c r="E3" s="3" t="s">
        <v>5</v>
      </c>
      <c r="F3" s="3" t="s">
        <v>65</v>
      </c>
      <c r="G3" s="3">
        <v>28004</v>
      </c>
      <c r="H3" s="3" t="s">
        <v>66</v>
      </c>
      <c r="I3" s="3" t="s">
        <v>167</v>
      </c>
      <c r="J3" s="3" t="s">
        <v>68</v>
      </c>
      <c r="K3" s="3" t="s">
        <v>61</v>
      </c>
      <c r="L3" s="3" t="s">
        <v>69</v>
      </c>
      <c r="M3" s="3" t="s">
        <v>212</v>
      </c>
      <c r="N3" s="3" t="s">
        <v>228</v>
      </c>
      <c r="O3" s="3" t="s">
        <v>174</v>
      </c>
      <c r="P3" s="3"/>
      <c r="Q3" s="3"/>
      <c r="R3" s="3" t="s">
        <v>239</v>
      </c>
      <c r="S3" s="3" t="s">
        <v>70</v>
      </c>
      <c r="T3" s="3" t="s">
        <v>71</v>
      </c>
      <c r="U3" s="3">
        <v>915220070</v>
      </c>
      <c r="V3" s="3" t="s">
        <v>4</v>
      </c>
      <c r="W3" s="3" t="str">
        <f t="shared" ref="W3:W23" si="0">F3 &amp; " " &amp; G3 &amp; ", " &amp; I3</f>
        <v>CORREDERA BAJA DE SAN PABLO 16 28004, Madrid</v>
      </c>
      <c r="X3" s="3" t="str">
        <f t="shared" ref="X3:X23" si="1">GetLatitude(W3)</f>
        <v>40.4226654</v>
      </c>
      <c r="Y3" s="3" t="str">
        <f t="shared" ref="Y3:Y23" si="2">GetLongitud(W3)</f>
        <v>-3.7034987</v>
      </c>
    </row>
    <row r="4" spans="1:25" ht="15.75" customHeight="1" x14ac:dyDescent="0.25">
      <c r="A4" s="3">
        <v>3</v>
      </c>
      <c r="B4" s="3" t="s">
        <v>72</v>
      </c>
      <c r="C4" s="3">
        <v>915930540</v>
      </c>
      <c r="D4" s="3" t="s">
        <v>6</v>
      </c>
      <c r="E4" s="3" t="s">
        <v>7</v>
      </c>
      <c r="F4" s="3" t="s">
        <v>172</v>
      </c>
      <c r="G4" s="3">
        <v>28015</v>
      </c>
      <c r="H4" s="3" t="s">
        <v>73</v>
      </c>
      <c r="I4" s="3" t="s">
        <v>167</v>
      </c>
      <c r="J4" s="3" t="s">
        <v>74</v>
      </c>
      <c r="K4" s="3" t="s">
        <v>61</v>
      </c>
      <c r="L4" s="3" t="s">
        <v>75</v>
      </c>
      <c r="M4" s="3" t="s">
        <v>213</v>
      </c>
      <c r="N4" s="3" t="s">
        <v>229</v>
      </c>
      <c r="O4" s="4" t="s">
        <v>204</v>
      </c>
      <c r="P4" s="4"/>
      <c r="Q4" s="4"/>
      <c r="R4" s="4"/>
      <c r="S4" s="3" t="s">
        <v>76</v>
      </c>
      <c r="T4" s="3" t="s">
        <v>77</v>
      </c>
      <c r="U4" s="3">
        <v>915930540</v>
      </c>
      <c r="V4" s="3" t="s">
        <v>8</v>
      </c>
      <c r="W4" s="3" t="str">
        <f t="shared" si="0"/>
        <v>MELENDEZ VALDES, 52 28015, Madrid</v>
      </c>
      <c r="X4" s="3" t="str">
        <f t="shared" si="1"/>
        <v>40.4331491</v>
      </c>
      <c r="Y4" s="3" t="str">
        <f t="shared" si="2"/>
        <v>-3.7149378</v>
      </c>
    </row>
    <row r="5" spans="1:25" ht="15.75" customHeight="1" x14ac:dyDescent="0.25">
      <c r="A5" s="3">
        <v>4</v>
      </c>
      <c r="B5" s="3" t="s">
        <v>78</v>
      </c>
      <c r="C5" s="3">
        <v>914379815</v>
      </c>
      <c r="D5" s="3" t="s">
        <v>9</v>
      </c>
      <c r="E5" s="3"/>
      <c r="F5" s="3" t="s">
        <v>79</v>
      </c>
      <c r="G5" s="3">
        <v>28030</v>
      </c>
      <c r="H5" s="3" t="s">
        <v>80</v>
      </c>
      <c r="I5" s="3" t="s">
        <v>167</v>
      </c>
      <c r="J5" s="3" t="s">
        <v>81</v>
      </c>
      <c r="K5" s="3" t="s">
        <v>67</v>
      </c>
      <c r="L5" s="3" t="s">
        <v>62</v>
      </c>
      <c r="M5" s="3" t="s">
        <v>214</v>
      </c>
      <c r="N5" s="3" t="s">
        <v>230</v>
      </c>
      <c r="O5" s="3" t="s">
        <v>174</v>
      </c>
      <c r="P5" s="3">
        <v>1</v>
      </c>
      <c r="Q5" s="3"/>
      <c r="R5" s="3"/>
      <c r="S5" s="3"/>
      <c r="T5" s="3" t="s">
        <v>82</v>
      </c>
      <c r="U5" s="3">
        <v>650010300</v>
      </c>
      <c r="V5" s="3" t="s">
        <v>10</v>
      </c>
      <c r="W5" s="3" t="str">
        <f t="shared" si="0"/>
        <v>CORREGIDOR DIEGO DE VALDERRABANO 45 28030, Madrid</v>
      </c>
      <c r="X5" s="3" t="str">
        <f t="shared" si="1"/>
        <v>40.4131224</v>
      </c>
      <c r="Y5" s="3" t="str">
        <f t="shared" si="2"/>
        <v>-3.6599634</v>
      </c>
    </row>
    <row r="6" spans="1:25" ht="15.75" customHeight="1" x14ac:dyDescent="0.25">
      <c r="A6" s="3">
        <v>5</v>
      </c>
      <c r="B6" s="3" t="s">
        <v>83</v>
      </c>
      <c r="C6" s="3">
        <v>644882198</v>
      </c>
      <c r="D6" s="3" t="s">
        <v>11</v>
      </c>
      <c r="E6" s="3" t="s">
        <v>12</v>
      </c>
      <c r="F6" s="3" t="s">
        <v>135</v>
      </c>
      <c r="G6" s="3">
        <v>28038</v>
      </c>
      <c r="H6" s="3" t="s">
        <v>84</v>
      </c>
      <c r="I6" s="3" t="s">
        <v>167</v>
      </c>
      <c r="J6" s="3" t="s">
        <v>85</v>
      </c>
      <c r="K6" s="3" t="s">
        <v>67</v>
      </c>
      <c r="L6" s="3" t="s">
        <v>62</v>
      </c>
      <c r="M6" s="3" t="s">
        <v>215</v>
      </c>
      <c r="N6" s="3"/>
      <c r="O6" s="3" t="s">
        <v>174</v>
      </c>
      <c r="P6" s="3"/>
      <c r="Q6" s="3">
        <v>1</v>
      </c>
      <c r="R6" s="3"/>
      <c r="S6" s="3" t="s">
        <v>86</v>
      </c>
      <c r="T6" s="3" t="s">
        <v>83</v>
      </c>
      <c r="U6" s="3">
        <v>644882198</v>
      </c>
      <c r="V6" s="3" t="s">
        <v>11</v>
      </c>
      <c r="W6" s="3" t="str">
        <f t="shared" si="0"/>
        <v>MONTSENY, 35  28038, Madrid</v>
      </c>
      <c r="X6" s="3" t="str">
        <f t="shared" si="1"/>
        <v>40.4005434</v>
      </c>
      <c r="Y6" s="3" t="str">
        <f t="shared" si="2"/>
        <v>-3.6624328</v>
      </c>
    </row>
    <row r="7" spans="1:25" ht="15.75" customHeight="1" x14ac:dyDescent="0.25">
      <c r="A7" s="3">
        <v>6</v>
      </c>
      <c r="B7" s="3" t="s">
        <v>87</v>
      </c>
      <c r="C7" s="3">
        <v>913555550</v>
      </c>
      <c r="D7" s="3" t="s">
        <v>13</v>
      </c>
      <c r="E7" s="3" t="s">
        <v>14</v>
      </c>
      <c r="F7" s="3" t="s">
        <v>169</v>
      </c>
      <c r="G7" s="3">
        <v>28028</v>
      </c>
      <c r="H7" s="3" t="s">
        <v>165</v>
      </c>
      <c r="I7" s="3" t="s">
        <v>167</v>
      </c>
      <c r="J7" s="3" t="s">
        <v>74</v>
      </c>
      <c r="K7" s="3" t="s">
        <v>61</v>
      </c>
      <c r="L7" s="3" t="s">
        <v>75</v>
      </c>
      <c r="M7" s="3" t="s">
        <v>216</v>
      </c>
      <c r="N7" s="3"/>
      <c r="O7" s="4" t="s">
        <v>203</v>
      </c>
      <c r="P7" s="4"/>
      <c r="Q7" s="4"/>
      <c r="R7" s="4"/>
      <c r="S7" s="3"/>
      <c r="T7" s="3" t="s">
        <v>88</v>
      </c>
      <c r="U7" s="3">
        <v>660528316</v>
      </c>
      <c r="V7" s="3" t="s">
        <v>15</v>
      </c>
      <c r="W7" s="3" t="str">
        <f t="shared" si="0"/>
        <v>BOCANGEL, 2 28028, Madrid</v>
      </c>
      <c r="X7" s="3" t="str">
        <f t="shared" si="1"/>
        <v>40.4298802</v>
      </c>
      <c r="Y7" s="3" t="str">
        <f t="shared" si="2"/>
        <v>-3.6643317</v>
      </c>
    </row>
    <row r="8" spans="1:25" ht="15.75" customHeight="1" x14ac:dyDescent="0.25">
      <c r="A8" s="3">
        <v>7</v>
      </c>
      <c r="B8" s="3" t="s">
        <v>89</v>
      </c>
      <c r="C8" s="3">
        <v>635736573</v>
      </c>
      <c r="D8" s="3" t="s">
        <v>16</v>
      </c>
      <c r="E8" s="3"/>
      <c r="F8" s="3" t="s">
        <v>158</v>
      </c>
      <c r="G8" s="3">
        <v>28029</v>
      </c>
      <c r="H8" s="3" t="s">
        <v>90</v>
      </c>
      <c r="I8" s="3" t="s">
        <v>167</v>
      </c>
      <c r="J8" s="3" t="s">
        <v>91</v>
      </c>
      <c r="K8" s="3" t="s">
        <v>67</v>
      </c>
      <c r="L8" s="3" t="s">
        <v>92</v>
      </c>
      <c r="M8" s="3" t="s">
        <v>217</v>
      </c>
      <c r="N8" s="3"/>
      <c r="O8" s="3" t="s">
        <v>174</v>
      </c>
      <c r="P8" s="3">
        <v>1</v>
      </c>
      <c r="Q8" s="3"/>
      <c r="R8" s="3"/>
      <c r="S8" s="3"/>
      <c r="T8" s="3" t="s">
        <v>93</v>
      </c>
      <c r="U8" s="3">
        <v>635736573</v>
      </c>
      <c r="V8" s="3" t="s">
        <v>16</v>
      </c>
      <c r="W8" s="3" t="str">
        <f t="shared" si="0"/>
        <v>BETANZOS 37 28029, Madrid</v>
      </c>
      <c r="X8" s="3" t="str">
        <f t="shared" si="1"/>
        <v>40.4746269</v>
      </c>
      <c r="Y8" s="3" t="str">
        <f t="shared" si="2"/>
        <v>-3.7114436</v>
      </c>
    </row>
    <row r="9" spans="1:25" ht="15.75" customHeight="1" x14ac:dyDescent="0.25">
      <c r="A9" s="3">
        <v>8</v>
      </c>
      <c r="B9" s="3" t="s">
        <v>94</v>
      </c>
      <c r="C9" s="3">
        <v>914672726</v>
      </c>
      <c r="D9" s="3" t="s">
        <v>17</v>
      </c>
      <c r="E9" s="3" t="s">
        <v>132</v>
      </c>
      <c r="F9" s="3" t="s">
        <v>171</v>
      </c>
      <c r="G9" s="3">
        <v>28045</v>
      </c>
      <c r="H9" s="3" t="s">
        <v>95</v>
      </c>
      <c r="I9" s="3" t="s">
        <v>167</v>
      </c>
      <c r="J9" s="3" t="s">
        <v>96</v>
      </c>
      <c r="K9" s="3" t="s">
        <v>61</v>
      </c>
      <c r="L9" s="3" t="s">
        <v>64</v>
      </c>
      <c r="M9" s="3" t="s">
        <v>218</v>
      </c>
      <c r="N9" s="3"/>
      <c r="O9" s="3" t="s">
        <v>174</v>
      </c>
      <c r="P9" s="3"/>
      <c r="Q9" s="3"/>
      <c r="R9" s="3" t="s">
        <v>241</v>
      </c>
      <c r="S9" s="3"/>
      <c r="T9" s="3" t="s">
        <v>97</v>
      </c>
      <c r="U9" s="3">
        <v>914672626</v>
      </c>
      <c r="V9" s="3" t="s">
        <v>18</v>
      </c>
      <c r="W9" s="3" t="str">
        <f t="shared" si="0"/>
        <v>CACERES, 10 28045, Madrid</v>
      </c>
      <c r="X9" s="3" t="str">
        <f t="shared" si="1"/>
        <v>40.3987635</v>
      </c>
      <c r="Y9" s="3" t="str">
        <f t="shared" si="2"/>
        <v>-3.6956464</v>
      </c>
    </row>
    <row r="10" spans="1:25" ht="15.75" customHeight="1" x14ac:dyDescent="0.25">
      <c r="A10" s="3">
        <v>9</v>
      </c>
      <c r="B10" s="3" t="s">
        <v>19</v>
      </c>
      <c r="C10" s="3">
        <v>917772822</v>
      </c>
      <c r="D10" s="3" t="s">
        <v>20</v>
      </c>
      <c r="E10" s="3" t="s">
        <v>21</v>
      </c>
      <c r="F10" s="3" t="s">
        <v>159</v>
      </c>
      <c r="G10" s="3">
        <v>28018</v>
      </c>
      <c r="H10" s="3" t="s">
        <v>84</v>
      </c>
      <c r="I10" s="3" t="s">
        <v>167</v>
      </c>
      <c r="J10" s="3" t="s">
        <v>96</v>
      </c>
      <c r="K10" s="3" t="s">
        <v>61</v>
      </c>
      <c r="L10" s="3" t="s">
        <v>64</v>
      </c>
      <c r="M10" s="3" t="s">
        <v>219</v>
      </c>
      <c r="N10" s="3"/>
      <c r="O10" s="3" t="s">
        <v>174</v>
      </c>
      <c r="P10" s="3"/>
      <c r="Q10" s="3"/>
      <c r="R10" s="3"/>
      <c r="S10" s="3"/>
      <c r="T10" s="3" t="s">
        <v>98</v>
      </c>
      <c r="U10" s="3">
        <v>917772822</v>
      </c>
      <c r="V10" s="3" t="s">
        <v>20</v>
      </c>
      <c r="W10" s="3" t="str">
        <f t="shared" si="0"/>
        <v>JAVIER DE MIGUEL, 92 28018, Madrid</v>
      </c>
      <c r="X10" s="3" t="str">
        <f t="shared" si="1"/>
        <v>40.3852155</v>
      </c>
      <c r="Y10" s="3" t="str">
        <f t="shared" si="2"/>
        <v>-3.6564745</v>
      </c>
    </row>
    <row r="11" spans="1:25" ht="15.75" customHeight="1" x14ac:dyDescent="0.25">
      <c r="A11" s="3">
        <v>10</v>
      </c>
      <c r="B11" s="3" t="s">
        <v>99</v>
      </c>
      <c r="C11" s="3"/>
      <c r="D11" s="3" t="s">
        <v>22</v>
      </c>
      <c r="E11" s="3" t="s">
        <v>23</v>
      </c>
      <c r="F11" s="3" t="s">
        <v>136</v>
      </c>
      <c r="G11" s="3">
        <v>28014</v>
      </c>
      <c r="H11" s="3" t="s">
        <v>66</v>
      </c>
      <c r="I11" s="3" t="s">
        <v>167</v>
      </c>
      <c r="J11" s="3" t="s">
        <v>85</v>
      </c>
      <c r="K11" s="3" t="s">
        <v>67</v>
      </c>
      <c r="L11" s="3" t="s">
        <v>62</v>
      </c>
      <c r="M11" s="3" t="s">
        <v>220</v>
      </c>
      <c r="N11" s="3"/>
      <c r="O11" s="3" t="s">
        <v>174</v>
      </c>
      <c r="P11" s="3"/>
      <c r="Q11" s="3">
        <v>1</v>
      </c>
      <c r="R11" s="3"/>
      <c r="S11" s="3"/>
      <c r="T11" s="3" t="s">
        <v>99</v>
      </c>
      <c r="U11" s="3"/>
      <c r="V11" s="3" t="s">
        <v>24</v>
      </c>
      <c r="W11" s="3" t="str">
        <f t="shared" si="0"/>
        <v>GOBERNADOR 39 28014, Madrid</v>
      </c>
      <c r="X11" s="3" t="str">
        <f t="shared" si="1"/>
        <v>40.4115124</v>
      </c>
      <c r="Y11" s="3" t="str">
        <f t="shared" si="2"/>
        <v>-3.6933957</v>
      </c>
    </row>
    <row r="12" spans="1:25" ht="15.75" customHeight="1" x14ac:dyDescent="0.25">
      <c r="A12" s="3">
        <v>11</v>
      </c>
      <c r="B12" s="3" t="s">
        <v>25</v>
      </c>
      <c r="C12" s="3">
        <v>913721506</v>
      </c>
      <c r="D12" s="3" t="s">
        <v>26</v>
      </c>
      <c r="E12" s="3" t="s">
        <v>27</v>
      </c>
      <c r="F12" s="3" t="s">
        <v>137</v>
      </c>
      <c r="G12" s="3">
        <v>28029</v>
      </c>
      <c r="H12" s="3" t="s">
        <v>90</v>
      </c>
      <c r="I12" s="3" t="s">
        <v>167</v>
      </c>
      <c r="J12" s="3" t="s">
        <v>74</v>
      </c>
      <c r="K12" s="3" t="s">
        <v>61</v>
      </c>
      <c r="L12" s="3" t="s">
        <v>64</v>
      </c>
      <c r="M12" s="3" t="s">
        <v>221</v>
      </c>
      <c r="N12" s="3"/>
      <c r="O12" s="3" t="s">
        <v>174</v>
      </c>
      <c r="P12" s="3">
        <v>1</v>
      </c>
      <c r="Q12" s="3"/>
      <c r="R12" s="3"/>
      <c r="S12" s="3"/>
      <c r="T12" s="3" t="s">
        <v>28</v>
      </c>
      <c r="U12" s="3">
        <v>913721506</v>
      </c>
      <c r="V12" s="3" t="s">
        <v>26</v>
      </c>
      <c r="W12" s="3" t="str">
        <f t="shared" si="0"/>
        <v>RIVADAVIA, 20 28029, Madrid</v>
      </c>
      <c r="X12" s="3" t="str">
        <f t="shared" si="1"/>
        <v>40.4724723</v>
      </c>
      <c r="Y12" s="3" t="str">
        <f t="shared" si="2"/>
        <v>-3.7049219</v>
      </c>
    </row>
    <row r="13" spans="1:25" ht="15.75" customHeight="1" x14ac:dyDescent="0.25">
      <c r="A13" s="3">
        <v>12</v>
      </c>
      <c r="B13" s="3" t="s">
        <v>100</v>
      </c>
      <c r="C13" s="3"/>
      <c r="D13" s="3" t="s">
        <v>29</v>
      </c>
      <c r="E13" s="3" t="s">
        <v>30</v>
      </c>
      <c r="F13" s="3" t="s">
        <v>138</v>
      </c>
      <c r="G13" s="3">
        <v>28020</v>
      </c>
      <c r="H13" s="3" t="s">
        <v>101</v>
      </c>
      <c r="I13" s="3" t="s">
        <v>167</v>
      </c>
      <c r="J13" s="3" t="s">
        <v>85</v>
      </c>
      <c r="K13" s="3" t="s">
        <v>67</v>
      </c>
      <c r="L13" s="3" t="s">
        <v>62</v>
      </c>
      <c r="M13" s="3" t="s">
        <v>211</v>
      </c>
      <c r="N13" s="3" t="s">
        <v>231</v>
      </c>
      <c r="O13" s="3" t="s">
        <v>174</v>
      </c>
      <c r="P13" s="3"/>
      <c r="Q13" s="3"/>
      <c r="R13" s="3"/>
      <c r="S13" s="3"/>
      <c r="T13" s="3" t="s">
        <v>100</v>
      </c>
      <c r="U13" s="3"/>
      <c r="V13" s="3" t="s">
        <v>29</v>
      </c>
      <c r="W13" s="3" t="str">
        <f t="shared" si="0"/>
        <v>ANASTASIO HERRERO 10 28020, Madrid</v>
      </c>
      <c r="X13" s="3" t="str">
        <f t="shared" si="1"/>
        <v>40.4566109</v>
      </c>
      <c r="Y13" s="3" t="str">
        <f t="shared" si="2"/>
        <v>-3.7009844</v>
      </c>
    </row>
    <row r="14" spans="1:25" ht="15.75" customHeight="1" x14ac:dyDescent="0.25">
      <c r="A14" s="3">
        <v>13</v>
      </c>
      <c r="B14" s="3" t="s">
        <v>102</v>
      </c>
      <c r="C14" s="3">
        <v>914299756</v>
      </c>
      <c r="D14" s="3" t="s">
        <v>31</v>
      </c>
      <c r="E14" s="3" t="s">
        <v>32</v>
      </c>
      <c r="F14" s="3" t="s">
        <v>160</v>
      </c>
      <c r="G14" s="3">
        <v>28014</v>
      </c>
      <c r="H14" s="3" t="s">
        <v>66</v>
      </c>
      <c r="I14" s="3" t="s">
        <v>167</v>
      </c>
      <c r="J14" s="3" t="s">
        <v>74</v>
      </c>
      <c r="K14" s="3" t="s">
        <v>61</v>
      </c>
      <c r="L14" s="3" t="s">
        <v>103</v>
      </c>
      <c r="M14" s="3" t="s">
        <v>222</v>
      </c>
      <c r="N14" s="3" t="s">
        <v>232</v>
      </c>
      <c r="O14" s="3" t="s">
        <v>174</v>
      </c>
      <c r="P14" s="3"/>
      <c r="Q14" s="3">
        <v>1</v>
      </c>
      <c r="R14" s="3"/>
      <c r="S14" s="3"/>
      <c r="T14" s="3" t="s">
        <v>104</v>
      </c>
      <c r="U14" s="3">
        <v>914299756</v>
      </c>
      <c r="V14" s="3" t="s">
        <v>33</v>
      </c>
      <c r="W14" s="3" t="str">
        <f t="shared" si="0"/>
        <v>SAN AGUSTIN, 7 28014, Madrid</v>
      </c>
      <c r="X14" s="3" t="str">
        <f t="shared" si="1"/>
        <v>40.4148312</v>
      </c>
      <c r="Y14" s="3" t="str">
        <f t="shared" si="2"/>
        <v>-3.6967330</v>
      </c>
    </row>
    <row r="15" spans="1:25" ht="15.75" customHeight="1" x14ac:dyDescent="0.25">
      <c r="A15" s="3">
        <v>14</v>
      </c>
      <c r="B15" s="3" t="s">
        <v>34</v>
      </c>
      <c r="C15" s="3">
        <v>913806604</v>
      </c>
      <c r="D15" s="3" t="s">
        <v>133</v>
      </c>
      <c r="E15" s="3" t="s">
        <v>35</v>
      </c>
      <c r="F15" s="3" t="s">
        <v>161</v>
      </c>
      <c r="G15" s="3">
        <v>28038</v>
      </c>
      <c r="H15" s="3" t="s">
        <v>84</v>
      </c>
      <c r="I15" s="3" t="s">
        <v>167</v>
      </c>
      <c r="J15" s="3" t="s">
        <v>96</v>
      </c>
      <c r="K15" s="3" t="s">
        <v>61</v>
      </c>
      <c r="L15" s="3" t="s">
        <v>64</v>
      </c>
      <c r="M15" s="3" t="s">
        <v>223</v>
      </c>
      <c r="N15" s="3" t="s">
        <v>233</v>
      </c>
      <c r="O15" s="4" t="s">
        <v>205</v>
      </c>
      <c r="P15" s="4"/>
      <c r="Q15" s="4"/>
      <c r="R15" s="4" t="s">
        <v>174</v>
      </c>
      <c r="S15" s="3"/>
      <c r="T15" s="3" t="s">
        <v>36</v>
      </c>
      <c r="U15" s="3">
        <v>913806604</v>
      </c>
      <c r="V15" s="3" t="s">
        <v>133</v>
      </c>
      <c r="W15" s="3" t="str">
        <f t="shared" si="0"/>
        <v>RAFAEL FERNANDEZ HIJICOS, 2 28038, Madrid</v>
      </c>
      <c r="X15" s="3" t="str">
        <f t="shared" si="1"/>
        <v>40.3924062</v>
      </c>
      <c r="Y15" s="3" t="str">
        <f t="shared" si="2"/>
        <v>-3.6368758</v>
      </c>
    </row>
    <row r="16" spans="1:25" ht="15.75" customHeight="1" x14ac:dyDescent="0.25">
      <c r="A16" s="3">
        <v>15</v>
      </c>
      <c r="B16" s="3" t="s">
        <v>105</v>
      </c>
      <c r="C16" s="3">
        <v>918286978</v>
      </c>
      <c r="D16" s="3" t="s">
        <v>37</v>
      </c>
      <c r="E16" s="3" t="s">
        <v>38</v>
      </c>
      <c r="F16" s="3" t="s">
        <v>162</v>
      </c>
      <c r="G16" s="3">
        <v>28005</v>
      </c>
      <c r="H16" s="3" t="s">
        <v>95</v>
      </c>
      <c r="I16" s="3" t="s">
        <v>167</v>
      </c>
      <c r="J16" s="3" t="s">
        <v>106</v>
      </c>
      <c r="K16" s="3" t="s">
        <v>61</v>
      </c>
      <c r="L16" s="3" t="s">
        <v>62</v>
      </c>
      <c r="M16" s="3" t="s">
        <v>214</v>
      </c>
      <c r="N16" s="3" t="s">
        <v>234</v>
      </c>
      <c r="O16" s="3" t="s">
        <v>174</v>
      </c>
      <c r="P16" s="3"/>
      <c r="Q16" s="3"/>
      <c r="R16" s="3"/>
      <c r="S16" s="3"/>
      <c r="T16" s="3" t="s">
        <v>107</v>
      </c>
      <c r="U16" s="3">
        <v>918286978</v>
      </c>
      <c r="V16" s="3" t="s">
        <v>39</v>
      </c>
      <c r="W16" s="3" t="str">
        <f t="shared" si="0"/>
        <v>ARQUITECTURA 15 DUPLICADO 28005, Madrid</v>
      </c>
      <c r="X16" s="3" t="str">
        <f t="shared" si="1"/>
        <v>40.3991255</v>
      </c>
      <c r="Y16" s="3" t="str">
        <f t="shared" si="2"/>
        <v>-3.7017506</v>
      </c>
    </row>
    <row r="17" spans="1:25" ht="15.75" customHeight="1" x14ac:dyDescent="0.25">
      <c r="A17" s="3">
        <v>16</v>
      </c>
      <c r="B17" s="3" t="s">
        <v>108</v>
      </c>
      <c r="C17" s="3">
        <v>915211174</v>
      </c>
      <c r="D17" s="3" t="s">
        <v>40</v>
      </c>
      <c r="E17" s="3" t="s">
        <v>41</v>
      </c>
      <c r="F17" s="3" t="s">
        <v>163</v>
      </c>
      <c r="G17" s="3">
        <v>28012</v>
      </c>
      <c r="H17" s="3" t="s">
        <v>66</v>
      </c>
      <c r="I17" s="3" t="s">
        <v>167</v>
      </c>
      <c r="J17" s="3" t="s">
        <v>74</v>
      </c>
      <c r="K17" s="3" t="s">
        <v>61</v>
      </c>
      <c r="L17" s="3" t="s">
        <v>109</v>
      </c>
      <c r="M17" s="3" t="s">
        <v>224</v>
      </c>
      <c r="N17" s="3"/>
      <c r="O17" s="4" t="s">
        <v>205</v>
      </c>
      <c r="P17" s="4"/>
      <c r="Q17" s="4"/>
      <c r="R17" s="4"/>
      <c r="S17" s="3" t="s">
        <v>110</v>
      </c>
      <c r="T17" s="3" t="s">
        <v>111</v>
      </c>
      <c r="U17" s="3">
        <v>915211174</v>
      </c>
      <c r="V17" s="3" t="s">
        <v>40</v>
      </c>
      <c r="W17" s="3" t="str">
        <f t="shared" si="0"/>
        <v>ESPARTEROS 1 28012, Madrid</v>
      </c>
      <c r="X17" s="3" t="str">
        <f t="shared" si="1"/>
        <v>40.4163611</v>
      </c>
      <c r="Y17" s="3" t="str">
        <f t="shared" si="2"/>
        <v>-3.7049219</v>
      </c>
    </row>
    <row r="18" spans="1:25" ht="15.75" customHeight="1" x14ac:dyDescent="0.25">
      <c r="A18" s="3">
        <v>17</v>
      </c>
      <c r="B18" s="3" t="s">
        <v>112</v>
      </c>
      <c r="C18" s="3"/>
      <c r="D18" s="3" t="s">
        <v>42</v>
      </c>
      <c r="E18" s="3" t="s">
        <v>43</v>
      </c>
      <c r="F18" s="3" t="s">
        <v>139</v>
      </c>
      <c r="G18" s="3">
        <v>28029</v>
      </c>
      <c r="H18" s="3" t="s">
        <v>101</v>
      </c>
      <c r="I18" s="3" t="s">
        <v>167</v>
      </c>
      <c r="J18" s="3" t="s">
        <v>113</v>
      </c>
      <c r="K18" s="3" t="s">
        <v>67</v>
      </c>
      <c r="L18" s="3" t="s">
        <v>114</v>
      </c>
      <c r="M18" s="3" t="s">
        <v>216</v>
      </c>
      <c r="N18" s="3"/>
      <c r="O18" s="3" t="s">
        <v>174</v>
      </c>
      <c r="P18" s="3"/>
      <c r="Q18" s="3"/>
      <c r="R18" s="3"/>
      <c r="S18" s="3"/>
      <c r="T18" s="3" t="s">
        <v>115</v>
      </c>
      <c r="U18" s="3">
        <v>699684246</v>
      </c>
      <c r="V18" s="3" t="s">
        <v>44</v>
      </c>
      <c r="W18" s="3" t="str">
        <f t="shared" si="0"/>
        <v>GENERAL ARANDA 30 28029, Madrid</v>
      </c>
      <c r="X18" s="3" t="str">
        <f t="shared" si="1"/>
        <v>40.4731095</v>
      </c>
      <c r="Y18" s="3" t="str">
        <f t="shared" si="2"/>
        <v>-3.6938230</v>
      </c>
    </row>
    <row r="19" spans="1:25" ht="15.75" customHeight="1" x14ac:dyDescent="0.25">
      <c r="A19" s="3">
        <v>18</v>
      </c>
      <c r="B19" s="3" t="s">
        <v>116</v>
      </c>
      <c r="C19" s="3">
        <v>917779661</v>
      </c>
      <c r="D19" s="3" t="s">
        <v>45</v>
      </c>
      <c r="E19" s="3"/>
      <c r="F19" s="3" t="s">
        <v>140</v>
      </c>
      <c r="G19" s="3">
        <v>28038</v>
      </c>
      <c r="H19" s="3" t="s">
        <v>84</v>
      </c>
      <c r="I19" s="3" t="s">
        <v>167</v>
      </c>
      <c r="J19" s="3" t="s">
        <v>117</v>
      </c>
      <c r="K19" s="3" t="s">
        <v>61</v>
      </c>
      <c r="L19" s="3" t="s">
        <v>62</v>
      </c>
      <c r="M19" s="3" t="s">
        <v>225</v>
      </c>
      <c r="N19" s="3" t="s">
        <v>235</v>
      </c>
      <c r="O19" s="3" t="s">
        <v>174</v>
      </c>
      <c r="P19" s="3">
        <v>1</v>
      </c>
      <c r="Q19" s="3">
        <v>1</v>
      </c>
      <c r="R19" s="3"/>
      <c r="S19" s="3" t="s">
        <v>118</v>
      </c>
      <c r="T19" s="3" t="s">
        <v>119</v>
      </c>
      <c r="U19" s="3">
        <v>917779661</v>
      </c>
      <c r="V19" s="3" t="s">
        <v>45</v>
      </c>
      <c r="W19" s="3" t="str">
        <f t="shared" si="0"/>
        <v>MARISMAS 37 28038, Madrid</v>
      </c>
      <c r="X19" s="3" t="str">
        <f t="shared" si="1"/>
        <v>40.4023568</v>
      </c>
      <c r="Y19" s="3" t="str">
        <f t="shared" si="2"/>
        <v>-3.6540105</v>
      </c>
    </row>
    <row r="20" spans="1:25" ht="15.75" customHeight="1" x14ac:dyDescent="0.25">
      <c r="A20" s="3">
        <v>19</v>
      </c>
      <c r="B20" s="3" t="s">
        <v>120</v>
      </c>
      <c r="C20" s="3"/>
      <c r="D20" s="3" t="s">
        <v>46</v>
      </c>
      <c r="E20" s="3" t="s">
        <v>47</v>
      </c>
      <c r="F20" s="3" t="s">
        <v>164</v>
      </c>
      <c r="G20" s="3">
        <v>28012</v>
      </c>
      <c r="H20" s="3" t="s">
        <v>66</v>
      </c>
      <c r="I20" s="3" t="s">
        <v>167</v>
      </c>
      <c r="J20" s="3" t="s">
        <v>121</v>
      </c>
      <c r="K20" s="3" t="s">
        <v>61</v>
      </c>
      <c r="L20" s="3" t="s">
        <v>114</v>
      </c>
      <c r="M20" s="3" t="s">
        <v>218</v>
      </c>
      <c r="N20" s="3"/>
      <c r="O20" s="4" t="s">
        <v>204</v>
      </c>
      <c r="P20" s="4"/>
      <c r="Q20" s="4"/>
      <c r="R20" s="4"/>
      <c r="S20" s="3"/>
      <c r="T20" s="3" t="s">
        <v>122</v>
      </c>
      <c r="U20" s="3"/>
      <c r="V20" s="3" t="s">
        <v>48</v>
      </c>
      <c r="W20" s="3" t="str">
        <f t="shared" si="0"/>
        <v>ALTAMIRANO, 37 28012, Madrid</v>
      </c>
      <c r="X20" s="3" t="str">
        <f t="shared" si="1"/>
        <v>40.4296027</v>
      </c>
      <c r="Y20" s="3" t="str">
        <f t="shared" si="2"/>
        <v>-3.7215548</v>
      </c>
    </row>
    <row r="21" spans="1:25" ht="15.75" customHeight="1" x14ac:dyDescent="0.25">
      <c r="A21" s="3">
        <v>20</v>
      </c>
      <c r="B21" s="3" t="s">
        <v>123</v>
      </c>
      <c r="C21" s="3">
        <v>915592906</v>
      </c>
      <c r="D21" s="3" t="s">
        <v>49</v>
      </c>
      <c r="E21" s="3" t="s">
        <v>50</v>
      </c>
      <c r="F21" s="3" t="s">
        <v>168</v>
      </c>
      <c r="G21" s="3">
        <v>28012</v>
      </c>
      <c r="H21" s="3" t="s">
        <v>66</v>
      </c>
      <c r="I21" s="3" t="s">
        <v>167</v>
      </c>
      <c r="J21" s="3" t="s">
        <v>124</v>
      </c>
      <c r="K21" s="3" t="s">
        <v>61</v>
      </c>
      <c r="L21" s="3" t="s">
        <v>125</v>
      </c>
      <c r="M21" s="3" t="s">
        <v>226</v>
      </c>
      <c r="N21" s="3"/>
      <c r="O21" s="4" t="s">
        <v>206</v>
      </c>
      <c r="P21" s="4"/>
      <c r="Q21" s="4"/>
      <c r="R21" s="4"/>
      <c r="S21" s="3"/>
      <c r="T21" s="3" t="s">
        <v>126</v>
      </c>
      <c r="U21" s="3">
        <v>915592906</v>
      </c>
      <c r="V21" s="3" t="s">
        <v>51</v>
      </c>
      <c r="W21" s="3" t="str">
        <f t="shared" si="0"/>
        <v>LAVAPIES, 13 28012, Madrid</v>
      </c>
      <c r="X21" s="3" t="str">
        <f t="shared" si="1"/>
        <v>40.4110726</v>
      </c>
      <c r="Y21" s="3" t="str">
        <f t="shared" si="2"/>
        <v>-3.7027240</v>
      </c>
    </row>
    <row r="22" spans="1:25" ht="15.75" customHeight="1" x14ac:dyDescent="0.25">
      <c r="A22" s="3">
        <v>21</v>
      </c>
      <c r="B22" s="3" t="s">
        <v>127</v>
      </c>
      <c r="C22" s="3">
        <v>912244837</v>
      </c>
      <c r="D22" s="3" t="s">
        <v>52</v>
      </c>
      <c r="E22" s="3" t="s">
        <v>53</v>
      </c>
      <c r="F22" s="3" t="s">
        <v>141</v>
      </c>
      <c r="G22" s="3">
        <v>28039</v>
      </c>
      <c r="H22" s="3" t="s">
        <v>128</v>
      </c>
      <c r="I22" s="3" t="s">
        <v>167</v>
      </c>
      <c r="J22" s="3" t="s">
        <v>129</v>
      </c>
      <c r="K22" s="3" t="s">
        <v>61</v>
      </c>
      <c r="L22" s="3" t="s">
        <v>75</v>
      </c>
      <c r="M22" s="3" t="s">
        <v>220</v>
      </c>
      <c r="N22" s="3"/>
      <c r="O22" s="3" t="s">
        <v>174</v>
      </c>
      <c r="P22" s="3">
        <v>1</v>
      </c>
      <c r="Q22" s="3"/>
      <c r="R22" s="3"/>
      <c r="S22" s="3"/>
      <c r="T22" s="3" t="s">
        <v>130</v>
      </c>
      <c r="U22" s="3">
        <v>912244837</v>
      </c>
      <c r="V22" s="3" t="s">
        <v>52</v>
      </c>
      <c r="W22" s="3" t="str">
        <f t="shared" si="0"/>
        <v>AGUILAR DE CAMPOO, 13 28039, Madrid</v>
      </c>
      <c r="X22" s="3" t="str">
        <f t="shared" si="1"/>
        <v>40.4635373</v>
      </c>
      <c r="Y22" s="3" t="str">
        <f t="shared" si="2"/>
        <v>-3.7188877</v>
      </c>
    </row>
    <row r="23" spans="1:25" ht="15.75" customHeight="1" x14ac:dyDescent="0.25">
      <c r="A23" s="3">
        <v>22</v>
      </c>
      <c r="B23" s="3" t="s">
        <v>54</v>
      </c>
      <c r="C23" s="3">
        <v>911684483</v>
      </c>
      <c r="D23" s="3" t="s">
        <v>55</v>
      </c>
      <c r="E23" s="3" t="s">
        <v>56</v>
      </c>
      <c r="F23" s="3" t="s">
        <v>142</v>
      </c>
      <c r="G23" s="3">
        <v>28029</v>
      </c>
      <c r="H23" s="3" t="s">
        <v>101</v>
      </c>
      <c r="I23" s="3" t="s">
        <v>167</v>
      </c>
      <c r="J23" s="3" t="s">
        <v>74</v>
      </c>
      <c r="K23" s="3" t="s">
        <v>61</v>
      </c>
      <c r="L23" s="3" t="s">
        <v>62</v>
      </c>
      <c r="M23" s="3" t="s">
        <v>221</v>
      </c>
      <c r="N23" s="3"/>
      <c r="O23" s="3" t="s">
        <v>174</v>
      </c>
      <c r="P23" s="3"/>
      <c r="Q23" s="3"/>
      <c r="R23" s="3"/>
      <c r="S23" s="3"/>
      <c r="T23" s="3" t="s">
        <v>131</v>
      </c>
      <c r="U23" s="3">
        <v>911684483</v>
      </c>
      <c r="V23" s="3" t="s">
        <v>57</v>
      </c>
      <c r="W23" s="3" t="str">
        <f t="shared" si="0"/>
        <v>SAN AQUILINO 27 28029, Madrid</v>
      </c>
      <c r="X23" s="3" t="str">
        <f t="shared" si="1"/>
        <v>40.4718609</v>
      </c>
      <c r="Y23" s="3" t="str">
        <f t="shared" si="2"/>
        <v>-3.6892258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16467-7B92-4636-9468-C278C9E215C1}">
  <sheetPr codeName="Sheet2"/>
  <dimension ref="A1:A5"/>
  <sheetViews>
    <sheetView workbookViewId="0">
      <selection activeCell="B1" sqref="B1"/>
    </sheetView>
  </sheetViews>
  <sheetFormatPr defaultRowHeight="13.2" x14ac:dyDescent="0.25"/>
  <cols>
    <col min="1" max="1" width="18" customWidth="1"/>
  </cols>
  <sheetData>
    <row r="1" spans="1:1" x14ac:dyDescent="0.25">
      <c r="A1" s="1" t="s">
        <v>173</v>
      </c>
    </row>
    <row r="2" spans="1:1" x14ac:dyDescent="0.25">
      <c r="A2" t="s">
        <v>174</v>
      </c>
    </row>
    <row r="3" spans="1:1" x14ac:dyDescent="0.25">
      <c r="A3" t="s">
        <v>175</v>
      </c>
    </row>
    <row r="4" spans="1:1" x14ac:dyDescent="0.25">
      <c r="A4" t="s">
        <v>176</v>
      </c>
    </row>
    <row r="5" spans="1:1" x14ac:dyDescent="0.25">
      <c r="A5" t="s">
        <v>177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0D820-F10B-4EA3-AE12-64B6D2C8120C}">
  <sheetPr codeName="Sheet3"/>
  <dimension ref="A1:E12"/>
  <sheetViews>
    <sheetView workbookViewId="0">
      <selection activeCell="A3" sqref="A3"/>
    </sheetView>
  </sheetViews>
  <sheetFormatPr defaultRowHeight="13.2" x14ac:dyDescent="0.25"/>
  <cols>
    <col min="1" max="1" width="8.109375" bestFit="1" customWidth="1"/>
    <col min="2" max="2" width="46" customWidth="1"/>
    <col min="3" max="5" width="11.88671875" bestFit="1" customWidth="1"/>
  </cols>
  <sheetData>
    <row r="1" spans="1:5" x14ac:dyDescent="0.25">
      <c r="A1" s="1" t="s">
        <v>189</v>
      </c>
      <c r="B1" s="1" t="s">
        <v>174</v>
      </c>
      <c r="C1" s="1" t="s">
        <v>175</v>
      </c>
      <c r="D1" s="1" t="s">
        <v>176</v>
      </c>
      <c r="E1" s="1" t="s">
        <v>177</v>
      </c>
    </row>
    <row r="2" spans="1:5" x14ac:dyDescent="0.25">
      <c r="A2" s="2" t="s">
        <v>190</v>
      </c>
      <c r="B2" t="s">
        <v>178</v>
      </c>
      <c r="C2" s="2" t="s">
        <v>201</v>
      </c>
      <c r="D2" s="2" t="s">
        <v>201</v>
      </c>
      <c r="E2" s="2" t="s">
        <v>201</v>
      </c>
    </row>
    <row r="3" spans="1:5" x14ac:dyDescent="0.25">
      <c r="A3" s="2" t="s">
        <v>191</v>
      </c>
      <c r="B3" t="s">
        <v>179</v>
      </c>
      <c r="C3" s="2" t="s">
        <v>201</v>
      </c>
      <c r="D3" s="2" t="s">
        <v>201</v>
      </c>
      <c r="E3" s="2" t="s">
        <v>201</v>
      </c>
    </row>
    <row r="4" spans="1:5" x14ac:dyDescent="0.25">
      <c r="A4" s="2" t="s">
        <v>192</v>
      </c>
      <c r="B4" t="s">
        <v>180</v>
      </c>
      <c r="C4" s="2" t="s">
        <v>201</v>
      </c>
      <c r="D4" s="2" t="s">
        <v>201</v>
      </c>
      <c r="E4" s="2" t="s">
        <v>201</v>
      </c>
    </row>
    <row r="5" spans="1:5" x14ac:dyDescent="0.25">
      <c r="A5" s="2" t="s">
        <v>193</v>
      </c>
      <c r="B5" t="s">
        <v>181</v>
      </c>
      <c r="C5" s="2" t="s">
        <v>201</v>
      </c>
      <c r="D5" s="2" t="s">
        <v>201</v>
      </c>
      <c r="E5" s="2" t="s">
        <v>201</v>
      </c>
    </row>
    <row r="6" spans="1:5" x14ac:dyDescent="0.25">
      <c r="A6" s="2" t="s">
        <v>194</v>
      </c>
      <c r="B6" t="s">
        <v>182</v>
      </c>
      <c r="C6" s="2" t="s">
        <v>201</v>
      </c>
      <c r="D6" s="2" t="s">
        <v>201</v>
      </c>
      <c r="E6" s="2" t="s">
        <v>201</v>
      </c>
    </row>
    <row r="7" spans="1:5" x14ac:dyDescent="0.25">
      <c r="A7" s="2" t="s">
        <v>195</v>
      </c>
      <c r="B7" t="s">
        <v>183</v>
      </c>
      <c r="C7" s="2" t="s">
        <v>201</v>
      </c>
      <c r="D7" s="2" t="s">
        <v>201</v>
      </c>
      <c r="E7" s="2" t="s">
        <v>201</v>
      </c>
    </row>
    <row r="8" spans="1:5" x14ac:dyDescent="0.25">
      <c r="A8" s="2" t="s">
        <v>196</v>
      </c>
      <c r="B8" t="s">
        <v>184</v>
      </c>
      <c r="C8" s="2" t="s">
        <v>201</v>
      </c>
      <c r="D8" s="2" t="s">
        <v>201</v>
      </c>
      <c r="E8" s="2" t="s">
        <v>201</v>
      </c>
    </row>
    <row r="9" spans="1:5" x14ac:dyDescent="0.25">
      <c r="A9" s="2" t="s">
        <v>197</v>
      </c>
      <c r="B9" t="s">
        <v>185</v>
      </c>
      <c r="C9" s="2" t="s">
        <v>201</v>
      </c>
      <c r="D9" s="2" t="s">
        <v>201</v>
      </c>
      <c r="E9" s="2" t="s">
        <v>201</v>
      </c>
    </row>
    <row r="10" spans="1:5" x14ac:dyDescent="0.25">
      <c r="A10" s="2" t="s">
        <v>198</v>
      </c>
      <c r="B10" t="s">
        <v>186</v>
      </c>
      <c r="C10" s="2" t="s">
        <v>201</v>
      </c>
      <c r="D10" s="2" t="s">
        <v>201</v>
      </c>
      <c r="E10" s="2" t="s">
        <v>201</v>
      </c>
    </row>
    <row r="11" spans="1:5" x14ac:dyDescent="0.25">
      <c r="A11" s="2" t="s">
        <v>199</v>
      </c>
      <c r="B11" t="s">
        <v>187</v>
      </c>
      <c r="C11" s="2" t="s">
        <v>201</v>
      </c>
      <c r="D11" s="2" t="s">
        <v>201</v>
      </c>
      <c r="E11" s="2" t="s">
        <v>201</v>
      </c>
    </row>
    <row r="12" spans="1:5" x14ac:dyDescent="0.25">
      <c r="A12" s="2" t="s">
        <v>200</v>
      </c>
      <c r="B12" t="s">
        <v>188</v>
      </c>
      <c r="C12" s="2" t="s">
        <v>201</v>
      </c>
      <c r="D12" s="2" t="s">
        <v>201</v>
      </c>
      <c r="E12" s="2" t="s">
        <v>201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Reference</vt:lpstr>
      <vt:lpstr>Categories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Treasury Centro Asturiano Ginebra</cp:lastModifiedBy>
  <cp:lastPrinted>2018-11-27T23:22:51Z</cp:lastPrinted>
  <dcterms:created xsi:type="dcterms:W3CDTF">2018-12-01T13:17:14Z</dcterms:created>
  <dcterms:modified xsi:type="dcterms:W3CDTF">2019-02-09T21:02:45Z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d111fbaf-dac9-4134-bd49-3a631126ede2</vt:lpwstr>
  </property>
</Properties>
</file>